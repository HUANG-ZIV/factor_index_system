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zivhuang/Documents/VS code/factor_index_system/output/SIZE/"/>
    </mc:Choice>
  </mc:AlternateContent>
  <xr:revisionPtr revIDLastSave="0" documentId="13_ncr:1_{BBC03332-AEC6-4341-B51E-597747C57F94}" xr6:coauthVersionLast="43" xr6:coauthVersionMax="47" xr10:uidLastSave="{00000000-0000-0000-0000-000000000000}"/>
  <bookViews>
    <workbookView xWindow="25540" yWindow="580" windowWidth="23440" windowHeight="17300" activeTab="1" xr2:uid="{00000000-000D-0000-FFFF-FFFF00000000}"/>
  </bookViews>
  <sheets>
    <sheet name="每日指數值" sheetId="1" r:id="rId1"/>
    <sheet name="投資後權重" sheetId="8" r:id="rId2"/>
    <sheet name="標準化權重" sheetId="11" r:id="rId3"/>
    <sheet name="驗證 " sheetId="10" r:id="rId4"/>
    <sheet name="每日權重" sheetId="2" r:id="rId5"/>
    <sheet name="現金股利" sheetId="9" r:id="rId6"/>
    <sheet name="每日收盤價" sheetId="3" r:id="rId7"/>
    <sheet name="每日報酬率" sheetId="4" r:id="rId8"/>
    <sheet name="每日貢獻度" sheetId="5" r:id="rId9"/>
    <sheet name="調倉摘要" sheetId="6" r:id="rId10"/>
    <sheet name="過渡期權重" sheetId="7" r:id="rId1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8" l="1"/>
  <c r="D3" i="8"/>
  <c r="C3" i="8"/>
  <c r="O2" i="8"/>
  <c r="F2" i="8" l="1"/>
  <c r="B3" i="8"/>
  <c r="F3" i="8" s="1"/>
  <c r="K3" i="8"/>
  <c r="L3" i="8"/>
  <c r="M3" i="8"/>
  <c r="N3" i="8"/>
  <c r="K4" i="8"/>
  <c r="L4" i="8"/>
  <c r="M4" i="8"/>
  <c r="N4" i="8"/>
  <c r="K5" i="8"/>
  <c r="L5" i="8"/>
  <c r="M5" i="8"/>
  <c r="N5" i="8"/>
  <c r="K6" i="8"/>
  <c r="L6" i="8"/>
  <c r="M6" i="8"/>
  <c r="N6" i="8"/>
  <c r="K7" i="8"/>
  <c r="L7" i="8"/>
  <c r="M7" i="8"/>
  <c r="N7" i="8"/>
  <c r="K8" i="8"/>
  <c r="L8" i="8"/>
  <c r="M8" i="8"/>
  <c r="N8" i="8"/>
  <c r="K9" i="8"/>
  <c r="L9" i="8"/>
  <c r="M9" i="8"/>
  <c r="N9" i="8"/>
  <c r="K10" i="8"/>
  <c r="L10" i="8"/>
  <c r="M10" i="8"/>
  <c r="N10" i="8"/>
  <c r="K11" i="8"/>
  <c r="L11" i="8"/>
  <c r="M11" i="8"/>
  <c r="N11" i="8"/>
  <c r="K12" i="8"/>
  <c r="L12" i="8"/>
  <c r="M12" i="8"/>
  <c r="N12" i="8"/>
  <c r="K13" i="8"/>
  <c r="L13" i="8"/>
  <c r="M13" i="8"/>
  <c r="N13" i="8"/>
  <c r="K14" i="8"/>
  <c r="L14" i="8"/>
  <c r="M14" i="8"/>
  <c r="N14" i="8"/>
  <c r="K15" i="8"/>
  <c r="L15" i="8"/>
  <c r="M15" i="8"/>
  <c r="N15" i="8"/>
  <c r="K16" i="8"/>
  <c r="O16" i="8" s="1"/>
  <c r="L16" i="8"/>
  <c r="M16" i="8"/>
  <c r="N16" i="8"/>
  <c r="K17" i="8"/>
  <c r="L17" i="8"/>
  <c r="M17" i="8"/>
  <c r="N17" i="8"/>
  <c r="K18" i="8"/>
  <c r="L18" i="8"/>
  <c r="M18" i="8"/>
  <c r="N18" i="8"/>
  <c r="K19" i="8"/>
  <c r="L19" i="8"/>
  <c r="M19" i="8"/>
  <c r="N19" i="8"/>
  <c r="K20" i="8"/>
  <c r="L20" i="8"/>
  <c r="M20" i="8"/>
  <c r="N20" i="8"/>
  <c r="K21" i="8"/>
  <c r="L21" i="8"/>
  <c r="M21" i="8"/>
  <c r="N21" i="8"/>
  <c r="K22" i="8"/>
  <c r="L22" i="8"/>
  <c r="M22" i="8"/>
  <c r="N22" i="8"/>
  <c r="K23" i="8"/>
  <c r="L23" i="8"/>
  <c r="M23" i="8"/>
  <c r="N23" i="8"/>
  <c r="K24" i="8"/>
  <c r="L24" i="8"/>
  <c r="M24" i="8"/>
  <c r="N24" i="8"/>
  <c r="K25" i="8"/>
  <c r="L25" i="8"/>
  <c r="M25" i="8"/>
  <c r="N25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31" i="8"/>
  <c r="L31" i="8"/>
  <c r="M31" i="8"/>
  <c r="N31" i="8"/>
  <c r="K32" i="8"/>
  <c r="L32" i="8"/>
  <c r="M32" i="8"/>
  <c r="N32" i="8"/>
  <c r="K33" i="8"/>
  <c r="L33" i="8"/>
  <c r="M33" i="8"/>
  <c r="N33" i="8"/>
  <c r="K34" i="8"/>
  <c r="L34" i="8"/>
  <c r="M34" i="8"/>
  <c r="N34" i="8"/>
  <c r="K35" i="8"/>
  <c r="L35" i="8"/>
  <c r="M35" i="8"/>
  <c r="N35" i="8"/>
  <c r="K36" i="8"/>
  <c r="L36" i="8"/>
  <c r="M36" i="8"/>
  <c r="N36" i="8"/>
  <c r="K37" i="8"/>
  <c r="L37" i="8"/>
  <c r="M37" i="8"/>
  <c r="N37" i="8"/>
  <c r="K38" i="8"/>
  <c r="L38" i="8"/>
  <c r="M38" i="8"/>
  <c r="N38" i="8"/>
  <c r="K39" i="8"/>
  <c r="L39" i="8"/>
  <c r="M39" i="8"/>
  <c r="N39" i="8"/>
  <c r="K40" i="8"/>
  <c r="L40" i="8"/>
  <c r="M40" i="8"/>
  <c r="N40" i="8"/>
  <c r="K41" i="8"/>
  <c r="L41" i="8"/>
  <c r="M41" i="8"/>
  <c r="N41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49" i="8"/>
  <c r="L49" i="8"/>
  <c r="M49" i="8"/>
  <c r="N49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55" i="8"/>
  <c r="L55" i="8"/>
  <c r="M55" i="8"/>
  <c r="N55" i="8"/>
  <c r="K56" i="8"/>
  <c r="L56" i="8"/>
  <c r="M56" i="8"/>
  <c r="N56" i="8"/>
  <c r="K57" i="8"/>
  <c r="L57" i="8"/>
  <c r="M57" i="8"/>
  <c r="N57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63" i="8"/>
  <c r="L63" i="8"/>
  <c r="M63" i="8"/>
  <c r="N63" i="8"/>
  <c r="K64" i="8"/>
  <c r="L64" i="8"/>
  <c r="M64" i="8"/>
  <c r="N64" i="8"/>
  <c r="K65" i="8"/>
  <c r="L65" i="8"/>
  <c r="M65" i="8"/>
  <c r="N65" i="8"/>
  <c r="K66" i="8"/>
  <c r="L66" i="8"/>
  <c r="M66" i="8"/>
  <c r="N66" i="8"/>
  <c r="K67" i="8"/>
  <c r="L67" i="8"/>
  <c r="M67" i="8"/>
  <c r="N67" i="8"/>
  <c r="K68" i="8"/>
  <c r="L68" i="8"/>
  <c r="M68" i="8"/>
  <c r="N68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3" i="8"/>
  <c r="L73" i="8"/>
  <c r="M73" i="8"/>
  <c r="N73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1" i="8"/>
  <c r="L81" i="8"/>
  <c r="M81" i="8"/>
  <c r="N81" i="8"/>
  <c r="K82" i="8"/>
  <c r="L82" i="8"/>
  <c r="M82" i="8"/>
  <c r="N82" i="8"/>
  <c r="K83" i="8"/>
  <c r="L83" i="8"/>
  <c r="M83" i="8"/>
  <c r="N83" i="8"/>
  <c r="K84" i="8"/>
  <c r="L84" i="8"/>
  <c r="M84" i="8"/>
  <c r="N84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89" i="8"/>
  <c r="L89" i="8"/>
  <c r="M89" i="8"/>
  <c r="N89" i="8"/>
  <c r="K90" i="8"/>
  <c r="L90" i="8"/>
  <c r="M90" i="8"/>
  <c r="N90" i="8"/>
  <c r="K91" i="8"/>
  <c r="L91" i="8"/>
  <c r="M91" i="8"/>
  <c r="N91" i="8"/>
  <c r="K92" i="8"/>
  <c r="L92" i="8"/>
  <c r="M92" i="8"/>
  <c r="N92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7" i="8"/>
  <c r="L97" i="8"/>
  <c r="M97" i="8"/>
  <c r="N97" i="8"/>
  <c r="K98" i="8"/>
  <c r="L98" i="8"/>
  <c r="M98" i="8"/>
  <c r="N98" i="8"/>
  <c r="K99" i="8"/>
  <c r="L99" i="8"/>
  <c r="M99" i="8"/>
  <c r="N99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05" i="8"/>
  <c r="L105" i="8"/>
  <c r="M105" i="8"/>
  <c r="N105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2" i="8"/>
  <c r="L112" i="8"/>
  <c r="M112" i="8"/>
  <c r="N112" i="8"/>
  <c r="K113" i="8"/>
  <c r="L113" i="8"/>
  <c r="M113" i="8"/>
  <c r="N113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0" i="8"/>
  <c r="L120" i="8"/>
  <c r="M120" i="8"/>
  <c r="N120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K125" i="8"/>
  <c r="L125" i="8"/>
  <c r="M125" i="8"/>
  <c r="N125" i="8"/>
  <c r="K126" i="8"/>
  <c r="L126" i="8"/>
  <c r="M126" i="8"/>
  <c r="N126" i="8"/>
  <c r="K127" i="8"/>
  <c r="L127" i="8"/>
  <c r="M127" i="8"/>
  <c r="N127" i="8"/>
  <c r="K128" i="8"/>
  <c r="L128" i="8"/>
  <c r="M128" i="8"/>
  <c r="N128" i="8"/>
  <c r="K129" i="8"/>
  <c r="L129" i="8"/>
  <c r="M129" i="8"/>
  <c r="N129" i="8"/>
  <c r="K130" i="8"/>
  <c r="L130" i="8"/>
  <c r="M130" i="8"/>
  <c r="N130" i="8"/>
  <c r="K131" i="8"/>
  <c r="L131" i="8"/>
  <c r="M131" i="8"/>
  <c r="N131" i="8"/>
  <c r="K132" i="8"/>
  <c r="L132" i="8"/>
  <c r="M132" i="8"/>
  <c r="N132" i="8"/>
  <c r="K133" i="8"/>
  <c r="L133" i="8"/>
  <c r="M133" i="8"/>
  <c r="N133" i="8"/>
  <c r="K134" i="8"/>
  <c r="L134" i="8"/>
  <c r="M134" i="8"/>
  <c r="N134" i="8"/>
  <c r="K135" i="8"/>
  <c r="L135" i="8"/>
  <c r="M135" i="8"/>
  <c r="N135" i="8"/>
  <c r="K136" i="8"/>
  <c r="L136" i="8"/>
  <c r="M136" i="8"/>
  <c r="N136" i="8"/>
  <c r="K137" i="8"/>
  <c r="L137" i="8"/>
  <c r="M137" i="8"/>
  <c r="N137" i="8"/>
  <c r="K138" i="8"/>
  <c r="L138" i="8"/>
  <c r="M138" i="8"/>
  <c r="N138" i="8"/>
  <c r="K139" i="8"/>
  <c r="L139" i="8"/>
  <c r="M139" i="8"/>
  <c r="N139" i="8"/>
  <c r="K140" i="8"/>
  <c r="L140" i="8"/>
  <c r="M140" i="8"/>
  <c r="N140" i="8"/>
  <c r="K141" i="8"/>
  <c r="L141" i="8"/>
  <c r="M141" i="8"/>
  <c r="N141" i="8"/>
  <c r="K142" i="8"/>
  <c r="L142" i="8"/>
  <c r="M142" i="8"/>
  <c r="N142" i="8"/>
  <c r="K143" i="8"/>
  <c r="L143" i="8"/>
  <c r="M143" i="8"/>
  <c r="N143" i="8"/>
  <c r="K144" i="8"/>
  <c r="L144" i="8"/>
  <c r="M144" i="8"/>
  <c r="N144" i="8"/>
  <c r="K145" i="8"/>
  <c r="L145" i="8"/>
  <c r="M145" i="8"/>
  <c r="N145" i="8"/>
  <c r="K146" i="8"/>
  <c r="L146" i="8"/>
  <c r="M146" i="8"/>
  <c r="N146" i="8"/>
  <c r="K147" i="8"/>
  <c r="L147" i="8"/>
  <c r="M147" i="8"/>
  <c r="N147" i="8"/>
  <c r="K148" i="8"/>
  <c r="L148" i="8"/>
  <c r="M148" i="8"/>
  <c r="N148" i="8"/>
  <c r="K149" i="8"/>
  <c r="L149" i="8"/>
  <c r="M149" i="8"/>
  <c r="N149" i="8"/>
  <c r="K150" i="8"/>
  <c r="L150" i="8"/>
  <c r="M150" i="8"/>
  <c r="N150" i="8"/>
  <c r="K151" i="8"/>
  <c r="L151" i="8"/>
  <c r="M151" i="8"/>
  <c r="N151" i="8"/>
  <c r="K152" i="8"/>
  <c r="L152" i="8"/>
  <c r="M152" i="8"/>
  <c r="N152" i="8"/>
  <c r="K153" i="8"/>
  <c r="L153" i="8"/>
  <c r="M153" i="8"/>
  <c r="N153" i="8"/>
  <c r="K154" i="8"/>
  <c r="L154" i="8"/>
  <c r="M154" i="8"/>
  <c r="N154" i="8"/>
  <c r="K155" i="8"/>
  <c r="L155" i="8"/>
  <c r="M155" i="8"/>
  <c r="N155" i="8"/>
  <c r="K156" i="8"/>
  <c r="L156" i="8"/>
  <c r="M156" i="8"/>
  <c r="N156" i="8"/>
  <c r="K157" i="8"/>
  <c r="L157" i="8"/>
  <c r="M157" i="8"/>
  <c r="N157" i="8"/>
  <c r="K158" i="8"/>
  <c r="L158" i="8"/>
  <c r="M158" i="8"/>
  <c r="N158" i="8"/>
  <c r="K159" i="8"/>
  <c r="L159" i="8"/>
  <c r="M159" i="8"/>
  <c r="N159" i="8"/>
  <c r="K160" i="8"/>
  <c r="L160" i="8"/>
  <c r="M160" i="8"/>
  <c r="N160" i="8"/>
  <c r="K161" i="8"/>
  <c r="L161" i="8"/>
  <c r="M161" i="8"/>
  <c r="N161" i="8"/>
  <c r="K162" i="8"/>
  <c r="L162" i="8"/>
  <c r="M162" i="8"/>
  <c r="N162" i="8"/>
  <c r="K163" i="8"/>
  <c r="L163" i="8"/>
  <c r="M163" i="8"/>
  <c r="N163" i="8"/>
  <c r="K164" i="8"/>
  <c r="L164" i="8"/>
  <c r="M164" i="8"/>
  <c r="N164" i="8"/>
  <c r="K165" i="8"/>
  <c r="L165" i="8"/>
  <c r="M165" i="8"/>
  <c r="N165" i="8"/>
  <c r="K166" i="8"/>
  <c r="L166" i="8"/>
  <c r="M166" i="8"/>
  <c r="N166" i="8"/>
  <c r="K167" i="8"/>
  <c r="L167" i="8"/>
  <c r="M167" i="8"/>
  <c r="N167" i="8"/>
  <c r="K168" i="8"/>
  <c r="L168" i="8"/>
  <c r="M168" i="8"/>
  <c r="N168" i="8"/>
  <c r="K169" i="8"/>
  <c r="L169" i="8"/>
  <c r="M169" i="8"/>
  <c r="N169" i="8"/>
  <c r="K170" i="8"/>
  <c r="L170" i="8"/>
  <c r="M170" i="8"/>
  <c r="N170" i="8"/>
  <c r="K171" i="8"/>
  <c r="L171" i="8"/>
  <c r="M171" i="8"/>
  <c r="N171" i="8"/>
  <c r="K172" i="8"/>
  <c r="L172" i="8"/>
  <c r="M172" i="8"/>
  <c r="N172" i="8"/>
  <c r="K173" i="8"/>
  <c r="L173" i="8"/>
  <c r="M173" i="8"/>
  <c r="N173" i="8"/>
  <c r="K174" i="8"/>
  <c r="L174" i="8"/>
  <c r="M174" i="8"/>
  <c r="N174" i="8"/>
  <c r="K175" i="8"/>
  <c r="L175" i="8"/>
  <c r="M175" i="8"/>
  <c r="N175" i="8"/>
  <c r="K176" i="8"/>
  <c r="L176" i="8"/>
  <c r="M176" i="8"/>
  <c r="N176" i="8"/>
  <c r="K177" i="8"/>
  <c r="L177" i="8"/>
  <c r="M177" i="8"/>
  <c r="N177" i="8"/>
  <c r="K178" i="8"/>
  <c r="L178" i="8"/>
  <c r="M178" i="8"/>
  <c r="N178" i="8"/>
  <c r="K179" i="8"/>
  <c r="L179" i="8"/>
  <c r="M179" i="8"/>
  <c r="N179" i="8"/>
  <c r="K180" i="8"/>
  <c r="L180" i="8"/>
  <c r="M180" i="8"/>
  <c r="N180" i="8"/>
  <c r="K181" i="8"/>
  <c r="L181" i="8"/>
  <c r="M181" i="8"/>
  <c r="N181" i="8"/>
  <c r="K182" i="8"/>
  <c r="L182" i="8"/>
  <c r="M182" i="8"/>
  <c r="N182" i="8"/>
  <c r="K183" i="8"/>
  <c r="L183" i="8"/>
  <c r="M183" i="8"/>
  <c r="N183" i="8"/>
  <c r="K184" i="8"/>
  <c r="L184" i="8"/>
  <c r="M184" i="8"/>
  <c r="N184" i="8"/>
  <c r="K185" i="8"/>
  <c r="L185" i="8"/>
  <c r="M185" i="8"/>
  <c r="N185" i="8"/>
  <c r="K186" i="8"/>
  <c r="L186" i="8"/>
  <c r="M186" i="8"/>
  <c r="N186" i="8"/>
  <c r="K187" i="8"/>
  <c r="L187" i="8"/>
  <c r="M187" i="8"/>
  <c r="N187" i="8"/>
  <c r="K188" i="8"/>
  <c r="L188" i="8"/>
  <c r="M188" i="8"/>
  <c r="N188" i="8"/>
  <c r="K189" i="8"/>
  <c r="L189" i="8"/>
  <c r="M189" i="8"/>
  <c r="N189" i="8"/>
  <c r="K190" i="8"/>
  <c r="L190" i="8"/>
  <c r="M190" i="8"/>
  <c r="N190" i="8"/>
  <c r="K191" i="8"/>
  <c r="L191" i="8"/>
  <c r="M191" i="8"/>
  <c r="N191" i="8"/>
  <c r="K192" i="8"/>
  <c r="L192" i="8"/>
  <c r="M192" i="8"/>
  <c r="N192" i="8"/>
  <c r="K193" i="8"/>
  <c r="L193" i="8"/>
  <c r="M193" i="8"/>
  <c r="N193" i="8"/>
  <c r="K194" i="8"/>
  <c r="L194" i="8"/>
  <c r="M194" i="8"/>
  <c r="N194" i="8"/>
  <c r="K195" i="8"/>
  <c r="L195" i="8"/>
  <c r="M195" i="8"/>
  <c r="N195" i="8"/>
  <c r="K196" i="8"/>
  <c r="L196" i="8"/>
  <c r="M196" i="8"/>
  <c r="N196" i="8"/>
  <c r="K197" i="8"/>
  <c r="L197" i="8"/>
  <c r="M197" i="8"/>
  <c r="N197" i="8"/>
  <c r="K198" i="8"/>
  <c r="L198" i="8"/>
  <c r="M198" i="8"/>
  <c r="N198" i="8"/>
  <c r="K199" i="8"/>
  <c r="L199" i="8"/>
  <c r="M199" i="8"/>
  <c r="N199" i="8"/>
  <c r="K200" i="8"/>
  <c r="L200" i="8"/>
  <c r="M200" i="8"/>
  <c r="N200" i="8"/>
  <c r="K201" i="8"/>
  <c r="L201" i="8"/>
  <c r="M201" i="8"/>
  <c r="N201" i="8"/>
  <c r="K202" i="8"/>
  <c r="L202" i="8"/>
  <c r="M202" i="8"/>
  <c r="N202" i="8"/>
  <c r="K203" i="8"/>
  <c r="L203" i="8"/>
  <c r="M203" i="8"/>
  <c r="N203" i="8"/>
  <c r="K204" i="8"/>
  <c r="L204" i="8"/>
  <c r="M204" i="8"/>
  <c r="N204" i="8"/>
  <c r="K205" i="8"/>
  <c r="L205" i="8"/>
  <c r="M205" i="8"/>
  <c r="N205" i="8"/>
  <c r="K206" i="8"/>
  <c r="L206" i="8"/>
  <c r="M206" i="8"/>
  <c r="N206" i="8"/>
  <c r="K207" i="8"/>
  <c r="L207" i="8"/>
  <c r="M207" i="8"/>
  <c r="N207" i="8"/>
  <c r="K208" i="8"/>
  <c r="L208" i="8"/>
  <c r="M208" i="8"/>
  <c r="N208" i="8"/>
  <c r="K209" i="8"/>
  <c r="L209" i="8"/>
  <c r="M209" i="8"/>
  <c r="N209" i="8"/>
  <c r="K210" i="8"/>
  <c r="L210" i="8"/>
  <c r="M210" i="8"/>
  <c r="N210" i="8"/>
  <c r="K211" i="8"/>
  <c r="L211" i="8"/>
  <c r="M211" i="8"/>
  <c r="N211" i="8"/>
  <c r="K212" i="8"/>
  <c r="L212" i="8"/>
  <c r="M212" i="8"/>
  <c r="N212" i="8"/>
  <c r="K213" i="8"/>
  <c r="L213" i="8"/>
  <c r="M213" i="8"/>
  <c r="N213" i="8"/>
  <c r="K214" i="8"/>
  <c r="L214" i="8"/>
  <c r="M214" i="8"/>
  <c r="N214" i="8"/>
  <c r="K215" i="8"/>
  <c r="L215" i="8"/>
  <c r="M215" i="8"/>
  <c r="N215" i="8"/>
  <c r="K216" i="8"/>
  <c r="L216" i="8"/>
  <c r="M216" i="8"/>
  <c r="N216" i="8"/>
  <c r="K217" i="8"/>
  <c r="L217" i="8"/>
  <c r="M217" i="8"/>
  <c r="N217" i="8"/>
  <c r="K218" i="8"/>
  <c r="L218" i="8"/>
  <c r="M218" i="8"/>
  <c r="N218" i="8"/>
  <c r="K219" i="8"/>
  <c r="L219" i="8"/>
  <c r="M219" i="8"/>
  <c r="N219" i="8"/>
  <c r="K220" i="8"/>
  <c r="L220" i="8"/>
  <c r="M220" i="8"/>
  <c r="N220" i="8"/>
  <c r="K221" i="8"/>
  <c r="L221" i="8"/>
  <c r="M221" i="8"/>
  <c r="N221" i="8"/>
  <c r="K222" i="8"/>
  <c r="L222" i="8"/>
  <c r="M222" i="8"/>
  <c r="N222" i="8"/>
  <c r="K223" i="8"/>
  <c r="L223" i="8"/>
  <c r="M223" i="8"/>
  <c r="N223" i="8"/>
  <c r="K224" i="8"/>
  <c r="L224" i="8"/>
  <c r="M224" i="8"/>
  <c r="N224" i="8"/>
  <c r="K225" i="8"/>
  <c r="L225" i="8"/>
  <c r="M225" i="8"/>
  <c r="N225" i="8"/>
  <c r="K226" i="8"/>
  <c r="L226" i="8"/>
  <c r="M226" i="8"/>
  <c r="N226" i="8"/>
  <c r="K227" i="8"/>
  <c r="L227" i="8"/>
  <c r="M227" i="8"/>
  <c r="N227" i="8"/>
  <c r="K228" i="8"/>
  <c r="L228" i="8"/>
  <c r="M228" i="8"/>
  <c r="N228" i="8"/>
  <c r="K229" i="8"/>
  <c r="L229" i="8"/>
  <c r="M229" i="8"/>
  <c r="N229" i="8"/>
  <c r="K230" i="8"/>
  <c r="L230" i="8"/>
  <c r="M230" i="8"/>
  <c r="N230" i="8"/>
  <c r="K231" i="8"/>
  <c r="L231" i="8"/>
  <c r="M231" i="8"/>
  <c r="N231" i="8"/>
  <c r="K232" i="8"/>
  <c r="L232" i="8"/>
  <c r="M232" i="8"/>
  <c r="N232" i="8"/>
  <c r="K233" i="8"/>
  <c r="L233" i="8"/>
  <c r="M233" i="8"/>
  <c r="N233" i="8"/>
  <c r="K234" i="8"/>
  <c r="L234" i="8"/>
  <c r="M234" i="8"/>
  <c r="N234" i="8"/>
  <c r="K235" i="8"/>
  <c r="L235" i="8"/>
  <c r="M235" i="8"/>
  <c r="N235" i="8"/>
  <c r="K236" i="8"/>
  <c r="L236" i="8"/>
  <c r="M236" i="8"/>
  <c r="N236" i="8"/>
  <c r="K237" i="8"/>
  <c r="L237" i="8"/>
  <c r="M237" i="8"/>
  <c r="N237" i="8"/>
  <c r="K238" i="8"/>
  <c r="L238" i="8"/>
  <c r="M238" i="8"/>
  <c r="N238" i="8"/>
  <c r="K239" i="8"/>
  <c r="L239" i="8"/>
  <c r="M239" i="8"/>
  <c r="N239" i="8"/>
  <c r="K240" i="8"/>
  <c r="L240" i="8"/>
  <c r="M240" i="8"/>
  <c r="N240" i="8"/>
  <c r="K241" i="8"/>
  <c r="L241" i="8"/>
  <c r="M241" i="8"/>
  <c r="N241" i="8"/>
  <c r="K242" i="8"/>
  <c r="L242" i="8"/>
  <c r="M242" i="8"/>
  <c r="N242" i="8"/>
  <c r="K243" i="8"/>
  <c r="L243" i="8"/>
  <c r="M243" i="8"/>
  <c r="N243" i="8"/>
  <c r="K244" i="8"/>
  <c r="L244" i="8"/>
  <c r="M244" i="8"/>
  <c r="N244" i="8"/>
  <c r="K245" i="8"/>
  <c r="L245" i="8"/>
  <c r="M245" i="8"/>
  <c r="N245" i="8"/>
  <c r="K246" i="8"/>
  <c r="L246" i="8"/>
  <c r="M246" i="8"/>
  <c r="N246" i="8"/>
  <c r="K247" i="8"/>
  <c r="L247" i="8"/>
  <c r="M247" i="8"/>
  <c r="N247" i="8"/>
  <c r="K248" i="8"/>
  <c r="L248" i="8"/>
  <c r="M248" i="8"/>
  <c r="N248" i="8"/>
  <c r="K249" i="8"/>
  <c r="L249" i="8"/>
  <c r="M249" i="8"/>
  <c r="N249" i="8"/>
  <c r="K250" i="8"/>
  <c r="L250" i="8"/>
  <c r="M250" i="8"/>
  <c r="N250" i="8"/>
  <c r="K251" i="8"/>
  <c r="L251" i="8"/>
  <c r="M251" i="8"/>
  <c r="N251" i="8"/>
  <c r="K252" i="8"/>
  <c r="L252" i="8"/>
  <c r="M252" i="8"/>
  <c r="N252" i="8"/>
  <c r="K253" i="8"/>
  <c r="L253" i="8"/>
  <c r="M253" i="8"/>
  <c r="N253" i="8"/>
  <c r="K254" i="8"/>
  <c r="L254" i="8"/>
  <c r="M254" i="8"/>
  <c r="N254" i="8"/>
  <c r="K255" i="8"/>
  <c r="L255" i="8"/>
  <c r="M255" i="8"/>
  <c r="N255" i="8"/>
  <c r="K256" i="8"/>
  <c r="L256" i="8"/>
  <c r="M256" i="8"/>
  <c r="N256" i="8"/>
  <c r="K257" i="8"/>
  <c r="L257" i="8"/>
  <c r="M257" i="8"/>
  <c r="N257" i="8"/>
  <c r="K258" i="8"/>
  <c r="L258" i="8"/>
  <c r="M258" i="8"/>
  <c r="N258" i="8"/>
  <c r="K259" i="8"/>
  <c r="L259" i="8"/>
  <c r="M259" i="8"/>
  <c r="N259" i="8"/>
  <c r="K260" i="8"/>
  <c r="L260" i="8"/>
  <c r="M260" i="8"/>
  <c r="N260" i="8"/>
  <c r="K261" i="8"/>
  <c r="L261" i="8"/>
  <c r="M261" i="8"/>
  <c r="N261" i="8"/>
  <c r="K262" i="8"/>
  <c r="L262" i="8"/>
  <c r="M262" i="8"/>
  <c r="N262" i="8"/>
  <c r="K263" i="8"/>
  <c r="L263" i="8"/>
  <c r="M263" i="8"/>
  <c r="N263" i="8"/>
  <c r="K264" i="8"/>
  <c r="L264" i="8"/>
  <c r="M264" i="8"/>
  <c r="N264" i="8"/>
  <c r="K265" i="8"/>
  <c r="L265" i="8"/>
  <c r="M265" i="8"/>
  <c r="N265" i="8"/>
  <c r="K266" i="8"/>
  <c r="L266" i="8"/>
  <c r="M266" i="8"/>
  <c r="N266" i="8"/>
  <c r="K267" i="8"/>
  <c r="L267" i="8"/>
  <c r="M267" i="8"/>
  <c r="N267" i="8"/>
  <c r="K268" i="8"/>
  <c r="L268" i="8"/>
  <c r="M268" i="8"/>
  <c r="N268" i="8"/>
  <c r="K269" i="8"/>
  <c r="L269" i="8"/>
  <c r="M269" i="8"/>
  <c r="N269" i="8"/>
  <c r="K270" i="8"/>
  <c r="L270" i="8"/>
  <c r="M270" i="8"/>
  <c r="N270" i="8"/>
  <c r="K271" i="8"/>
  <c r="L271" i="8"/>
  <c r="M271" i="8"/>
  <c r="N271" i="8"/>
  <c r="K272" i="8"/>
  <c r="L272" i="8"/>
  <c r="M272" i="8"/>
  <c r="N272" i="8"/>
  <c r="K273" i="8"/>
  <c r="L273" i="8"/>
  <c r="M273" i="8"/>
  <c r="N273" i="8"/>
  <c r="K274" i="8"/>
  <c r="L274" i="8"/>
  <c r="M274" i="8"/>
  <c r="N274" i="8"/>
  <c r="K275" i="8"/>
  <c r="L275" i="8"/>
  <c r="M275" i="8"/>
  <c r="N275" i="8"/>
  <c r="K276" i="8"/>
  <c r="L276" i="8"/>
  <c r="M276" i="8"/>
  <c r="N276" i="8"/>
  <c r="K277" i="8"/>
  <c r="L277" i="8"/>
  <c r="M277" i="8"/>
  <c r="N277" i="8"/>
  <c r="K278" i="8"/>
  <c r="L278" i="8"/>
  <c r="M278" i="8"/>
  <c r="N278" i="8"/>
  <c r="K279" i="8"/>
  <c r="L279" i="8"/>
  <c r="M279" i="8"/>
  <c r="N279" i="8"/>
  <c r="K280" i="8"/>
  <c r="L280" i="8"/>
  <c r="M280" i="8"/>
  <c r="N280" i="8"/>
  <c r="K281" i="8"/>
  <c r="L281" i="8"/>
  <c r="M281" i="8"/>
  <c r="N281" i="8"/>
  <c r="K282" i="8"/>
  <c r="L282" i="8"/>
  <c r="M282" i="8"/>
  <c r="N282" i="8"/>
  <c r="K283" i="8"/>
  <c r="L283" i="8"/>
  <c r="M283" i="8"/>
  <c r="N283" i="8"/>
  <c r="K284" i="8"/>
  <c r="L284" i="8"/>
  <c r="M284" i="8"/>
  <c r="N284" i="8"/>
  <c r="K285" i="8"/>
  <c r="L285" i="8"/>
  <c r="M285" i="8"/>
  <c r="N285" i="8"/>
  <c r="K286" i="8"/>
  <c r="L286" i="8"/>
  <c r="M286" i="8"/>
  <c r="N286" i="8"/>
  <c r="K287" i="8"/>
  <c r="L287" i="8"/>
  <c r="M287" i="8"/>
  <c r="N287" i="8"/>
  <c r="K288" i="8"/>
  <c r="L288" i="8"/>
  <c r="M288" i="8"/>
  <c r="N288" i="8"/>
  <c r="K289" i="8"/>
  <c r="L289" i="8"/>
  <c r="M289" i="8"/>
  <c r="N289" i="8"/>
  <c r="K290" i="8"/>
  <c r="L290" i="8"/>
  <c r="M290" i="8"/>
  <c r="N290" i="8"/>
  <c r="K291" i="8"/>
  <c r="L291" i="8"/>
  <c r="M291" i="8"/>
  <c r="N291" i="8"/>
  <c r="K292" i="8"/>
  <c r="L292" i="8"/>
  <c r="M292" i="8"/>
  <c r="N292" i="8"/>
  <c r="K293" i="8"/>
  <c r="L293" i="8"/>
  <c r="M293" i="8"/>
  <c r="N293" i="8"/>
  <c r="K294" i="8"/>
  <c r="L294" i="8"/>
  <c r="M294" i="8"/>
  <c r="N294" i="8"/>
  <c r="K295" i="8"/>
  <c r="L295" i="8"/>
  <c r="M295" i="8"/>
  <c r="N295" i="8"/>
  <c r="K296" i="8"/>
  <c r="L296" i="8"/>
  <c r="M296" i="8"/>
  <c r="N296" i="8"/>
  <c r="K297" i="8"/>
  <c r="L297" i="8"/>
  <c r="M297" i="8"/>
  <c r="N297" i="8"/>
  <c r="K298" i="8"/>
  <c r="L298" i="8"/>
  <c r="M298" i="8"/>
  <c r="N298" i="8"/>
  <c r="K299" i="8"/>
  <c r="L299" i="8"/>
  <c r="M299" i="8"/>
  <c r="N299" i="8"/>
  <c r="K300" i="8"/>
  <c r="L300" i="8"/>
  <c r="M300" i="8"/>
  <c r="N300" i="8"/>
  <c r="K301" i="8"/>
  <c r="L301" i="8"/>
  <c r="M301" i="8"/>
  <c r="N301" i="8"/>
  <c r="K302" i="8"/>
  <c r="L302" i="8"/>
  <c r="M302" i="8"/>
  <c r="N302" i="8"/>
  <c r="K303" i="8"/>
  <c r="L303" i="8"/>
  <c r="M303" i="8"/>
  <c r="N303" i="8"/>
  <c r="K304" i="8"/>
  <c r="L304" i="8"/>
  <c r="M304" i="8"/>
  <c r="N304" i="8"/>
  <c r="K305" i="8"/>
  <c r="L305" i="8"/>
  <c r="M305" i="8"/>
  <c r="N305" i="8"/>
  <c r="K306" i="8"/>
  <c r="L306" i="8"/>
  <c r="M306" i="8"/>
  <c r="N306" i="8"/>
  <c r="K307" i="8"/>
  <c r="L307" i="8"/>
  <c r="M307" i="8"/>
  <c r="N307" i="8"/>
  <c r="K308" i="8"/>
  <c r="L308" i="8"/>
  <c r="M308" i="8"/>
  <c r="N308" i="8"/>
  <c r="K309" i="8"/>
  <c r="L309" i="8"/>
  <c r="M309" i="8"/>
  <c r="N309" i="8"/>
  <c r="K310" i="8"/>
  <c r="L310" i="8"/>
  <c r="M310" i="8"/>
  <c r="N310" i="8"/>
  <c r="K311" i="8"/>
  <c r="L311" i="8"/>
  <c r="M311" i="8"/>
  <c r="N311" i="8"/>
  <c r="K312" i="8"/>
  <c r="L312" i="8"/>
  <c r="M312" i="8"/>
  <c r="N312" i="8"/>
  <c r="K313" i="8"/>
  <c r="L313" i="8"/>
  <c r="M313" i="8"/>
  <c r="N313" i="8"/>
  <c r="K314" i="8"/>
  <c r="L314" i="8"/>
  <c r="M314" i="8"/>
  <c r="N314" i="8"/>
  <c r="K315" i="8"/>
  <c r="L315" i="8"/>
  <c r="M315" i="8"/>
  <c r="N315" i="8"/>
  <c r="K316" i="8"/>
  <c r="L316" i="8"/>
  <c r="M316" i="8"/>
  <c r="N316" i="8"/>
  <c r="K317" i="8"/>
  <c r="L317" i="8"/>
  <c r="M317" i="8"/>
  <c r="N317" i="8"/>
  <c r="K318" i="8"/>
  <c r="L318" i="8"/>
  <c r="M318" i="8"/>
  <c r="N318" i="8"/>
  <c r="K319" i="8"/>
  <c r="L319" i="8"/>
  <c r="M319" i="8"/>
  <c r="N319" i="8"/>
  <c r="K320" i="8"/>
  <c r="L320" i="8"/>
  <c r="M320" i="8"/>
  <c r="N320" i="8"/>
  <c r="K321" i="8"/>
  <c r="L321" i="8"/>
  <c r="M321" i="8"/>
  <c r="N321" i="8"/>
  <c r="K322" i="8"/>
  <c r="L322" i="8"/>
  <c r="M322" i="8"/>
  <c r="N322" i="8"/>
  <c r="K323" i="8"/>
  <c r="L323" i="8"/>
  <c r="M323" i="8"/>
  <c r="N323" i="8"/>
  <c r="K324" i="8"/>
  <c r="L324" i="8"/>
  <c r="M324" i="8"/>
  <c r="N324" i="8"/>
  <c r="K325" i="8"/>
  <c r="L325" i="8"/>
  <c r="M325" i="8"/>
  <c r="N325" i="8"/>
  <c r="K326" i="8"/>
  <c r="L326" i="8"/>
  <c r="M326" i="8"/>
  <c r="N326" i="8"/>
  <c r="K327" i="8"/>
  <c r="L327" i="8"/>
  <c r="M327" i="8"/>
  <c r="N327" i="8"/>
  <c r="K328" i="8"/>
  <c r="L328" i="8"/>
  <c r="M328" i="8"/>
  <c r="N328" i="8"/>
  <c r="K329" i="8"/>
  <c r="L329" i="8"/>
  <c r="M329" i="8"/>
  <c r="N329" i="8"/>
  <c r="K330" i="8"/>
  <c r="L330" i="8"/>
  <c r="M330" i="8"/>
  <c r="N330" i="8"/>
  <c r="K331" i="8"/>
  <c r="L331" i="8"/>
  <c r="M331" i="8"/>
  <c r="N331" i="8"/>
  <c r="K332" i="8"/>
  <c r="L332" i="8"/>
  <c r="M332" i="8"/>
  <c r="N332" i="8"/>
  <c r="K333" i="8"/>
  <c r="L333" i="8"/>
  <c r="M333" i="8"/>
  <c r="N333" i="8"/>
  <c r="K334" i="8"/>
  <c r="L334" i="8"/>
  <c r="M334" i="8"/>
  <c r="N334" i="8"/>
  <c r="K335" i="8"/>
  <c r="L335" i="8"/>
  <c r="M335" i="8"/>
  <c r="N335" i="8"/>
  <c r="K336" i="8"/>
  <c r="L336" i="8"/>
  <c r="M336" i="8"/>
  <c r="N336" i="8"/>
  <c r="K337" i="8"/>
  <c r="L337" i="8"/>
  <c r="M337" i="8"/>
  <c r="N337" i="8"/>
  <c r="K338" i="8"/>
  <c r="L338" i="8"/>
  <c r="M338" i="8"/>
  <c r="N338" i="8"/>
  <c r="K339" i="8"/>
  <c r="L339" i="8"/>
  <c r="M339" i="8"/>
  <c r="N339" i="8"/>
  <c r="K340" i="8"/>
  <c r="L340" i="8"/>
  <c r="M340" i="8"/>
  <c r="N340" i="8"/>
  <c r="K341" i="8"/>
  <c r="L341" i="8"/>
  <c r="M341" i="8"/>
  <c r="N341" i="8"/>
  <c r="K342" i="8"/>
  <c r="L342" i="8"/>
  <c r="M342" i="8"/>
  <c r="N342" i="8"/>
  <c r="K343" i="8"/>
  <c r="L343" i="8"/>
  <c r="M343" i="8"/>
  <c r="N343" i="8"/>
  <c r="K344" i="8"/>
  <c r="L344" i="8"/>
  <c r="M344" i="8"/>
  <c r="N344" i="8"/>
  <c r="K345" i="8"/>
  <c r="L345" i="8"/>
  <c r="M345" i="8"/>
  <c r="N345" i="8"/>
  <c r="K346" i="8"/>
  <c r="L346" i="8"/>
  <c r="M346" i="8"/>
  <c r="N346" i="8"/>
  <c r="K347" i="8"/>
  <c r="L347" i="8"/>
  <c r="M347" i="8"/>
  <c r="N347" i="8"/>
  <c r="K348" i="8"/>
  <c r="L348" i="8"/>
  <c r="M348" i="8"/>
  <c r="N348" i="8"/>
  <c r="K349" i="8"/>
  <c r="L349" i="8"/>
  <c r="M349" i="8"/>
  <c r="N349" i="8"/>
  <c r="K350" i="8"/>
  <c r="L350" i="8"/>
  <c r="M350" i="8"/>
  <c r="N350" i="8"/>
  <c r="K351" i="8"/>
  <c r="L351" i="8"/>
  <c r="M351" i="8"/>
  <c r="N351" i="8"/>
  <c r="K352" i="8"/>
  <c r="L352" i="8"/>
  <c r="M352" i="8"/>
  <c r="N352" i="8"/>
  <c r="K353" i="8"/>
  <c r="L353" i="8"/>
  <c r="M353" i="8"/>
  <c r="N353" i="8"/>
  <c r="K354" i="8"/>
  <c r="L354" i="8"/>
  <c r="M354" i="8"/>
  <c r="N354" i="8"/>
  <c r="K355" i="8"/>
  <c r="L355" i="8"/>
  <c r="M355" i="8"/>
  <c r="N355" i="8"/>
  <c r="K356" i="8"/>
  <c r="L356" i="8"/>
  <c r="M356" i="8"/>
  <c r="N356" i="8"/>
  <c r="K357" i="8"/>
  <c r="L357" i="8"/>
  <c r="M357" i="8"/>
  <c r="N357" i="8"/>
  <c r="K358" i="8"/>
  <c r="L358" i="8"/>
  <c r="M358" i="8"/>
  <c r="N358" i="8"/>
  <c r="K359" i="8"/>
  <c r="L359" i="8"/>
  <c r="M359" i="8"/>
  <c r="N359" i="8"/>
  <c r="K360" i="8"/>
  <c r="L360" i="8"/>
  <c r="M360" i="8"/>
  <c r="N360" i="8"/>
  <c r="K361" i="8"/>
  <c r="L361" i="8"/>
  <c r="M361" i="8"/>
  <c r="N361" i="8"/>
  <c r="K362" i="8"/>
  <c r="L362" i="8"/>
  <c r="M362" i="8"/>
  <c r="N362" i="8"/>
  <c r="K363" i="8"/>
  <c r="L363" i="8"/>
  <c r="M363" i="8"/>
  <c r="N363" i="8"/>
  <c r="K364" i="8"/>
  <c r="L364" i="8"/>
  <c r="M364" i="8"/>
  <c r="N364" i="8"/>
  <c r="K365" i="8"/>
  <c r="L365" i="8"/>
  <c r="M365" i="8"/>
  <c r="N365" i="8"/>
  <c r="K366" i="8"/>
  <c r="L366" i="8"/>
  <c r="M366" i="8"/>
  <c r="N366" i="8"/>
  <c r="K367" i="8"/>
  <c r="L367" i="8"/>
  <c r="M367" i="8"/>
  <c r="N367" i="8"/>
  <c r="K368" i="8"/>
  <c r="L368" i="8"/>
  <c r="M368" i="8"/>
  <c r="N368" i="8"/>
  <c r="K369" i="8"/>
  <c r="L369" i="8"/>
  <c r="M369" i="8"/>
  <c r="N369" i="8"/>
  <c r="K370" i="8"/>
  <c r="L370" i="8"/>
  <c r="M370" i="8"/>
  <c r="N370" i="8"/>
  <c r="K371" i="8"/>
  <c r="L371" i="8"/>
  <c r="M371" i="8"/>
  <c r="N371" i="8"/>
  <c r="K372" i="8"/>
  <c r="L372" i="8"/>
  <c r="M372" i="8"/>
  <c r="N372" i="8"/>
  <c r="K373" i="8"/>
  <c r="L373" i="8"/>
  <c r="M373" i="8"/>
  <c r="N373" i="8"/>
  <c r="K374" i="8"/>
  <c r="L374" i="8"/>
  <c r="M374" i="8"/>
  <c r="N374" i="8"/>
  <c r="K375" i="8"/>
  <c r="L375" i="8"/>
  <c r="M375" i="8"/>
  <c r="N375" i="8"/>
  <c r="K376" i="8"/>
  <c r="L376" i="8"/>
  <c r="M376" i="8"/>
  <c r="N376" i="8"/>
  <c r="K377" i="8"/>
  <c r="L377" i="8"/>
  <c r="M377" i="8"/>
  <c r="N377" i="8"/>
  <c r="K378" i="8"/>
  <c r="L378" i="8"/>
  <c r="M378" i="8"/>
  <c r="N378" i="8"/>
  <c r="K379" i="8"/>
  <c r="L379" i="8"/>
  <c r="M379" i="8"/>
  <c r="N379" i="8"/>
  <c r="K380" i="8"/>
  <c r="L380" i="8"/>
  <c r="M380" i="8"/>
  <c r="N380" i="8"/>
  <c r="K381" i="8"/>
  <c r="L381" i="8"/>
  <c r="M381" i="8"/>
  <c r="N381" i="8"/>
  <c r="K382" i="8"/>
  <c r="L382" i="8"/>
  <c r="M382" i="8"/>
  <c r="N382" i="8"/>
  <c r="K383" i="8"/>
  <c r="L383" i="8"/>
  <c r="M383" i="8"/>
  <c r="N383" i="8"/>
  <c r="K384" i="8"/>
  <c r="L384" i="8"/>
  <c r="M384" i="8"/>
  <c r="N384" i="8"/>
  <c r="K385" i="8"/>
  <c r="L385" i="8"/>
  <c r="M385" i="8"/>
  <c r="N385" i="8"/>
  <c r="K386" i="8"/>
  <c r="L386" i="8"/>
  <c r="M386" i="8"/>
  <c r="N386" i="8"/>
  <c r="K387" i="8"/>
  <c r="L387" i="8"/>
  <c r="M387" i="8"/>
  <c r="N387" i="8"/>
  <c r="K388" i="8"/>
  <c r="L388" i="8"/>
  <c r="M388" i="8"/>
  <c r="N388" i="8"/>
  <c r="K389" i="8"/>
  <c r="L389" i="8"/>
  <c r="M389" i="8"/>
  <c r="N389" i="8"/>
  <c r="K390" i="8"/>
  <c r="L390" i="8"/>
  <c r="M390" i="8"/>
  <c r="N390" i="8"/>
  <c r="K391" i="8"/>
  <c r="L391" i="8"/>
  <c r="M391" i="8"/>
  <c r="N391" i="8"/>
  <c r="K392" i="8"/>
  <c r="L392" i="8"/>
  <c r="M392" i="8"/>
  <c r="N392" i="8"/>
  <c r="K393" i="8"/>
  <c r="L393" i="8"/>
  <c r="M393" i="8"/>
  <c r="N393" i="8"/>
  <c r="K394" i="8"/>
  <c r="L394" i="8"/>
  <c r="M394" i="8"/>
  <c r="N394" i="8"/>
  <c r="K395" i="8"/>
  <c r="L395" i="8"/>
  <c r="M395" i="8"/>
  <c r="N395" i="8"/>
  <c r="K396" i="8"/>
  <c r="L396" i="8"/>
  <c r="M396" i="8"/>
  <c r="N396" i="8"/>
  <c r="K397" i="8"/>
  <c r="L397" i="8"/>
  <c r="M397" i="8"/>
  <c r="N397" i="8"/>
  <c r="K398" i="8"/>
  <c r="L398" i="8"/>
  <c r="M398" i="8"/>
  <c r="N398" i="8"/>
  <c r="K399" i="8"/>
  <c r="L399" i="8"/>
  <c r="M399" i="8"/>
  <c r="N399" i="8"/>
  <c r="K400" i="8"/>
  <c r="L400" i="8"/>
  <c r="M400" i="8"/>
  <c r="N400" i="8"/>
  <c r="K401" i="8"/>
  <c r="L401" i="8"/>
  <c r="M401" i="8"/>
  <c r="N401" i="8"/>
  <c r="K402" i="8"/>
  <c r="L402" i="8"/>
  <c r="M402" i="8"/>
  <c r="N402" i="8"/>
  <c r="K403" i="8"/>
  <c r="L403" i="8"/>
  <c r="M403" i="8"/>
  <c r="N403" i="8"/>
  <c r="K404" i="8"/>
  <c r="L404" i="8"/>
  <c r="M404" i="8"/>
  <c r="N404" i="8"/>
  <c r="K405" i="8"/>
  <c r="L405" i="8"/>
  <c r="M405" i="8"/>
  <c r="N405" i="8"/>
  <c r="K406" i="8"/>
  <c r="L406" i="8"/>
  <c r="M406" i="8"/>
  <c r="N406" i="8"/>
  <c r="K407" i="8"/>
  <c r="L407" i="8"/>
  <c r="M407" i="8"/>
  <c r="N407" i="8"/>
  <c r="K408" i="8"/>
  <c r="L408" i="8"/>
  <c r="M408" i="8"/>
  <c r="N408" i="8"/>
  <c r="K409" i="8"/>
  <c r="L409" i="8"/>
  <c r="M409" i="8"/>
  <c r="N409" i="8"/>
  <c r="K410" i="8"/>
  <c r="L410" i="8"/>
  <c r="M410" i="8"/>
  <c r="N410" i="8"/>
  <c r="K411" i="8"/>
  <c r="L411" i="8"/>
  <c r="M411" i="8"/>
  <c r="N411" i="8"/>
  <c r="K412" i="8"/>
  <c r="L412" i="8"/>
  <c r="M412" i="8"/>
  <c r="N412" i="8"/>
  <c r="K413" i="8"/>
  <c r="L413" i="8"/>
  <c r="M413" i="8"/>
  <c r="N413" i="8"/>
  <c r="K414" i="8"/>
  <c r="L414" i="8"/>
  <c r="M414" i="8"/>
  <c r="N414" i="8"/>
  <c r="K415" i="8"/>
  <c r="L415" i="8"/>
  <c r="M415" i="8"/>
  <c r="N415" i="8"/>
  <c r="K416" i="8"/>
  <c r="L416" i="8"/>
  <c r="M416" i="8"/>
  <c r="N416" i="8"/>
  <c r="K417" i="8"/>
  <c r="L417" i="8"/>
  <c r="M417" i="8"/>
  <c r="N417" i="8"/>
  <c r="K418" i="8"/>
  <c r="L418" i="8"/>
  <c r="M418" i="8"/>
  <c r="N418" i="8"/>
  <c r="K419" i="8"/>
  <c r="L419" i="8"/>
  <c r="M419" i="8"/>
  <c r="N419" i="8"/>
  <c r="K420" i="8"/>
  <c r="L420" i="8"/>
  <c r="M420" i="8"/>
  <c r="N420" i="8"/>
  <c r="K421" i="8"/>
  <c r="L421" i="8"/>
  <c r="M421" i="8"/>
  <c r="N421" i="8"/>
  <c r="K422" i="8"/>
  <c r="L422" i="8"/>
  <c r="M422" i="8"/>
  <c r="N422" i="8"/>
  <c r="K423" i="8"/>
  <c r="L423" i="8"/>
  <c r="M423" i="8"/>
  <c r="N423" i="8"/>
  <c r="K424" i="8"/>
  <c r="L424" i="8"/>
  <c r="M424" i="8"/>
  <c r="N424" i="8"/>
  <c r="K425" i="8"/>
  <c r="L425" i="8"/>
  <c r="M425" i="8"/>
  <c r="N425" i="8"/>
  <c r="K426" i="8"/>
  <c r="L426" i="8"/>
  <c r="M426" i="8"/>
  <c r="N426" i="8"/>
  <c r="K427" i="8"/>
  <c r="L427" i="8"/>
  <c r="M427" i="8"/>
  <c r="N427" i="8"/>
  <c r="K428" i="8"/>
  <c r="L428" i="8"/>
  <c r="M428" i="8"/>
  <c r="N428" i="8"/>
  <c r="K429" i="8"/>
  <c r="L429" i="8"/>
  <c r="M429" i="8"/>
  <c r="N429" i="8"/>
  <c r="K430" i="8"/>
  <c r="L430" i="8"/>
  <c r="M430" i="8"/>
  <c r="N430" i="8"/>
  <c r="K431" i="8"/>
  <c r="L431" i="8"/>
  <c r="M431" i="8"/>
  <c r="N431" i="8"/>
  <c r="K432" i="8"/>
  <c r="L432" i="8"/>
  <c r="M432" i="8"/>
  <c r="N432" i="8"/>
  <c r="K433" i="8"/>
  <c r="L433" i="8"/>
  <c r="M433" i="8"/>
  <c r="N433" i="8"/>
  <c r="K434" i="8"/>
  <c r="L434" i="8"/>
  <c r="M434" i="8"/>
  <c r="N434" i="8"/>
  <c r="K435" i="8"/>
  <c r="L435" i="8"/>
  <c r="M435" i="8"/>
  <c r="N435" i="8"/>
  <c r="K436" i="8"/>
  <c r="L436" i="8"/>
  <c r="M436" i="8"/>
  <c r="N436" i="8"/>
  <c r="K437" i="8"/>
  <c r="L437" i="8"/>
  <c r="M437" i="8"/>
  <c r="N437" i="8"/>
  <c r="K438" i="8"/>
  <c r="L438" i="8"/>
  <c r="M438" i="8"/>
  <c r="N438" i="8"/>
  <c r="K439" i="8"/>
  <c r="L439" i="8"/>
  <c r="M439" i="8"/>
  <c r="N439" i="8"/>
  <c r="K440" i="8"/>
  <c r="L440" i="8"/>
  <c r="M440" i="8"/>
  <c r="N440" i="8"/>
  <c r="K441" i="8"/>
  <c r="L441" i="8"/>
  <c r="M441" i="8"/>
  <c r="N441" i="8"/>
  <c r="K442" i="8"/>
  <c r="L442" i="8"/>
  <c r="M442" i="8"/>
  <c r="N442" i="8"/>
  <c r="K443" i="8"/>
  <c r="L443" i="8"/>
  <c r="M443" i="8"/>
  <c r="N443" i="8"/>
  <c r="K444" i="8"/>
  <c r="L444" i="8"/>
  <c r="M444" i="8"/>
  <c r="N444" i="8"/>
  <c r="K445" i="8"/>
  <c r="L445" i="8"/>
  <c r="M445" i="8"/>
  <c r="N445" i="8"/>
  <c r="K446" i="8"/>
  <c r="L446" i="8"/>
  <c r="M446" i="8"/>
  <c r="N446" i="8"/>
  <c r="K447" i="8"/>
  <c r="L447" i="8"/>
  <c r="M447" i="8"/>
  <c r="N447" i="8"/>
  <c r="K448" i="8"/>
  <c r="L448" i="8"/>
  <c r="M448" i="8"/>
  <c r="N448" i="8"/>
  <c r="K449" i="8"/>
  <c r="L449" i="8"/>
  <c r="M449" i="8"/>
  <c r="N449" i="8"/>
  <c r="K450" i="8"/>
  <c r="L450" i="8"/>
  <c r="M450" i="8"/>
  <c r="N450" i="8"/>
  <c r="K451" i="8"/>
  <c r="L451" i="8"/>
  <c r="M451" i="8"/>
  <c r="N451" i="8"/>
  <c r="K452" i="8"/>
  <c r="L452" i="8"/>
  <c r="M452" i="8"/>
  <c r="N452" i="8"/>
  <c r="K453" i="8"/>
  <c r="L453" i="8"/>
  <c r="M453" i="8"/>
  <c r="N453" i="8"/>
  <c r="K454" i="8"/>
  <c r="L454" i="8"/>
  <c r="M454" i="8"/>
  <c r="N454" i="8"/>
  <c r="K455" i="8"/>
  <c r="L455" i="8"/>
  <c r="M455" i="8"/>
  <c r="N455" i="8"/>
  <c r="K456" i="8"/>
  <c r="L456" i="8"/>
  <c r="M456" i="8"/>
  <c r="N456" i="8"/>
  <c r="K457" i="8"/>
  <c r="L457" i="8"/>
  <c r="M457" i="8"/>
  <c r="N457" i="8"/>
  <c r="K458" i="8"/>
  <c r="L458" i="8"/>
  <c r="M458" i="8"/>
  <c r="N458" i="8"/>
  <c r="K459" i="8"/>
  <c r="L459" i="8"/>
  <c r="M459" i="8"/>
  <c r="N459" i="8"/>
  <c r="K460" i="8"/>
  <c r="L460" i="8"/>
  <c r="M460" i="8"/>
  <c r="N460" i="8"/>
  <c r="K461" i="8"/>
  <c r="L461" i="8"/>
  <c r="M461" i="8"/>
  <c r="N461" i="8"/>
  <c r="K462" i="8"/>
  <c r="L462" i="8"/>
  <c r="M462" i="8"/>
  <c r="N462" i="8"/>
  <c r="K463" i="8"/>
  <c r="L463" i="8"/>
  <c r="M463" i="8"/>
  <c r="N463" i="8"/>
  <c r="K464" i="8"/>
  <c r="L464" i="8"/>
  <c r="M464" i="8"/>
  <c r="N464" i="8"/>
  <c r="K465" i="8"/>
  <c r="L465" i="8"/>
  <c r="M465" i="8"/>
  <c r="N465" i="8"/>
  <c r="K466" i="8"/>
  <c r="L466" i="8"/>
  <c r="M466" i="8"/>
  <c r="N466" i="8"/>
  <c r="K467" i="8"/>
  <c r="L467" i="8"/>
  <c r="M467" i="8"/>
  <c r="N467" i="8"/>
  <c r="K468" i="8"/>
  <c r="L468" i="8"/>
  <c r="M468" i="8"/>
  <c r="N468" i="8"/>
  <c r="K469" i="8"/>
  <c r="L469" i="8"/>
  <c r="M469" i="8"/>
  <c r="N469" i="8"/>
  <c r="K470" i="8"/>
  <c r="L470" i="8"/>
  <c r="M470" i="8"/>
  <c r="N470" i="8"/>
  <c r="K471" i="8"/>
  <c r="L471" i="8"/>
  <c r="M471" i="8"/>
  <c r="N471" i="8"/>
  <c r="K472" i="8"/>
  <c r="L472" i="8"/>
  <c r="M472" i="8"/>
  <c r="N472" i="8"/>
  <c r="K473" i="8"/>
  <c r="L473" i="8"/>
  <c r="M473" i="8"/>
  <c r="N473" i="8"/>
  <c r="K474" i="8"/>
  <c r="L474" i="8"/>
  <c r="M474" i="8"/>
  <c r="N474" i="8"/>
  <c r="K475" i="8"/>
  <c r="L475" i="8"/>
  <c r="M475" i="8"/>
  <c r="N475" i="8"/>
  <c r="K476" i="8"/>
  <c r="L476" i="8"/>
  <c r="M476" i="8"/>
  <c r="N476" i="8"/>
  <c r="K477" i="8"/>
  <c r="L477" i="8"/>
  <c r="M477" i="8"/>
  <c r="N477" i="8"/>
  <c r="K478" i="8"/>
  <c r="L478" i="8"/>
  <c r="M478" i="8"/>
  <c r="N478" i="8"/>
  <c r="K479" i="8"/>
  <c r="L479" i="8"/>
  <c r="M479" i="8"/>
  <c r="N479" i="8"/>
  <c r="L2" i="8"/>
  <c r="M2" i="8"/>
  <c r="N2" i="8"/>
  <c r="K2" i="8"/>
  <c r="O4" i="8"/>
  <c r="C3" i="11" l="1"/>
  <c r="D3" i="11"/>
  <c r="E3" i="11"/>
  <c r="B3" i="11"/>
  <c r="O234" i="8"/>
  <c r="O81" i="8"/>
  <c r="O71" i="8"/>
  <c r="O6" i="8"/>
  <c r="O187" i="8"/>
  <c r="O182" i="8"/>
  <c r="O172" i="8"/>
  <c r="O165" i="8"/>
  <c r="O162" i="8"/>
  <c r="O160" i="8"/>
  <c r="O152" i="8"/>
  <c r="O150" i="8"/>
  <c r="O142" i="8"/>
  <c r="O430" i="8"/>
  <c r="O395" i="8"/>
  <c r="O350" i="8"/>
  <c r="O300" i="8"/>
  <c r="O295" i="8"/>
  <c r="O285" i="8"/>
  <c r="O260" i="8"/>
  <c r="O250" i="8"/>
  <c r="O245" i="8"/>
  <c r="O235" i="8"/>
  <c r="O210" i="8"/>
  <c r="O200" i="8"/>
  <c r="O195" i="8"/>
  <c r="O170" i="8"/>
  <c r="O385" i="8"/>
  <c r="O410" i="8"/>
  <c r="O450" i="8"/>
  <c r="O400" i="8"/>
  <c r="O335" i="8"/>
  <c r="O345" i="8"/>
  <c r="O310" i="8"/>
  <c r="O343" i="8"/>
  <c r="O173" i="8"/>
  <c r="O171" i="8"/>
  <c r="O360" i="8"/>
  <c r="O243" i="8"/>
  <c r="O158" i="8"/>
  <c r="O148" i="8"/>
  <c r="O58" i="8"/>
  <c r="O8" i="8"/>
  <c r="O473" i="8"/>
  <c r="O463" i="8"/>
  <c r="O453" i="8"/>
  <c r="O443" i="8"/>
  <c r="O433" i="8"/>
  <c r="O423" i="8"/>
  <c r="O413" i="8"/>
  <c r="O366" i="8"/>
  <c r="O363" i="8"/>
  <c r="O313" i="8"/>
  <c r="O293" i="8"/>
  <c r="O263" i="8"/>
  <c r="O226" i="8"/>
  <c r="O216" i="8"/>
  <c r="O213" i="8"/>
  <c r="O143" i="8"/>
  <c r="O141" i="8"/>
  <c r="O126" i="8"/>
  <c r="O123" i="8"/>
  <c r="O118" i="8"/>
  <c r="O113" i="8"/>
  <c r="O106" i="8"/>
  <c r="O103" i="8"/>
  <c r="O98" i="8"/>
  <c r="O91" i="8"/>
  <c r="O78" i="8"/>
  <c r="O68" i="8"/>
  <c r="O66" i="8"/>
  <c r="O63" i="8"/>
  <c r="O56" i="8"/>
  <c r="O53" i="8"/>
  <c r="O51" i="8"/>
  <c r="O48" i="8"/>
  <c r="O43" i="8"/>
  <c r="O41" i="8"/>
  <c r="O38" i="8"/>
  <c r="O36" i="8"/>
  <c r="O33" i="8"/>
  <c r="O31" i="8"/>
  <c r="O28" i="8"/>
  <c r="O26" i="8"/>
  <c r="O23" i="8"/>
  <c r="O21" i="8"/>
  <c r="O18" i="8"/>
  <c r="O13" i="8"/>
  <c r="O3" i="8"/>
  <c r="O39" i="8"/>
  <c r="O169" i="8"/>
  <c r="O114" i="8"/>
  <c r="O69" i="8"/>
  <c r="O137" i="8"/>
  <c r="O132" i="8"/>
  <c r="O130" i="8"/>
  <c r="O127" i="8"/>
  <c r="O122" i="8"/>
  <c r="O120" i="8"/>
  <c r="O117" i="8"/>
  <c r="O115" i="8"/>
  <c r="O112" i="8"/>
  <c r="O105" i="8"/>
  <c r="O102" i="8"/>
  <c r="O97" i="8"/>
  <c r="O95" i="8"/>
  <c r="O92" i="8"/>
  <c r="O87" i="8"/>
  <c r="O82" i="8"/>
  <c r="O75" i="8"/>
  <c r="O72" i="8"/>
  <c r="O70" i="8"/>
  <c r="O65" i="8"/>
  <c r="O62" i="8"/>
  <c r="O60" i="8"/>
  <c r="O52" i="8"/>
  <c r="O50" i="8"/>
  <c r="O42" i="8"/>
  <c r="O37" i="8"/>
  <c r="O32" i="8"/>
  <c r="O30" i="8"/>
  <c r="O27" i="8"/>
  <c r="O22" i="8"/>
  <c r="O20" i="8"/>
  <c r="O17" i="8"/>
  <c r="O15" i="8"/>
  <c r="O12" i="8"/>
  <c r="O10" i="8"/>
  <c r="O5" i="8"/>
  <c r="O191" i="8"/>
  <c r="O183" i="8"/>
  <c r="O138" i="8"/>
  <c r="O76" i="8"/>
  <c r="O73" i="8"/>
  <c r="O393" i="8"/>
  <c r="O376" i="8"/>
  <c r="O266" i="8"/>
  <c r="O9" i="8"/>
  <c r="O474" i="8"/>
  <c r="O434" i="8"/>
  <c r="O394" i="8"/>
  <c r="O389" i="8"/>
  <c r="O384" i="8"/>
  <c r="O379" i="8"/>
  <c r="O374" i="8"/>
  <c r="O369" i="8"/>
  <c r="O364" i="8"/>
  <c r="O359" i="8"/>
  <c r="O354" i="8"/>
  <c r="O349" i="8"/>
  <c r="O344" i="8"/>
  <c r="O339" i="8"/>
  <c r="O334" i="8"/>
  <c r="O329" i="8"/>
  <c r="O324" i="8"/>
  <c r="O319" i="8"/>
  <c r="O314" i="8"/>
  <c r="O309" i="8"/>
  <c r="O304" i="8"/>
  <c r="O299" i="8"/>
  <c r="O294" i="8"/>
  <c r="O289" i="8"/>
  <c r="O284" i="8"/>
  <c r="O279" i="8"/>
  <c r="O274" i="8"/>
  <c r="O269" i="8"/>
  <c r="O264" i="8"/>
  <c r="O259" i="8"/>
  <c r="O256" i="8"/>
  <c r="O254" i="8"/>
  <c r="O249" i="8"/>
  <c r="O244" i="8"/>
  <c r="O239" i="8"/>
  <c r="O229" i="8"/>
  <c r="O224" i="8"/>
  <c r="O219" i="8"/>
  <c r="O214" i="8"/>
  <c r="O204" i="8"/>
  <c r="O194" i="8"/>
  <c r="O189" i="8"/>
  <c r="O184" i="8"/>
  <c r="O179" i="8"/>
  <c r="O174" i="8"/>
  <c r="O164" i="8"/>
  <c r="O159" i="8"/>
  <c r="O154" i="8"/>
  <c r="O149" i="8"/>
  <c r="O144" i="8"/>
  <c r="O139" i="8"/>
  <c r="O134" i="8"/>
  <c r="O129" i="8"/>
  <c r="O124" i="8"/>
  <c r="O119" i="8"/>
  <c r="O109" i="8"/>
  <c r="O104" i="8"/>
  <c r="O99" i="8"/>
  <c r="O94" i="8"/>
  <c r="O89" i="8"/>
  <c r="O84" i="8"/>
  <c r="O64" i="8"/>
  <c r="O59" i="8"/>
  <c r="O54" i="8"/>
  <c r="O49" i="8"/>
  <c r="O14" i="8"/>
  <c r="O181" i="8"/>
  <c r="O44" i="8"/>
  <c r="O316" i="8"/>
  <c r="O153" i="8"/>
  <c r="O131" i="8"/>
  <c r="O93" i="8"/>
  <c r="O83" i="8"/>
  <c r="O61" i="8"/>
  <c r="O276" i="8"/>
  <c r="O193" i="8"/>
  <c r="O161" i="8"/>
  <c r="O128" i="8"/>
  <c r="O326" i="8"/>
  <c r="O186" i="8"/>
  <c r="O116" i="8"/>
  <c r="O399" i="8"/>
  <c r="O437" i="8"/>
  <c r="O417" i="8"/>
  <c r="O377" i="8"/>
  <c r="O327" i="8"/>
  <c r="O227" i="8"/>
  <c r="O217" i="8"/>
  <c r="O207" i="8"/>
  <c r="O460" i="8"/>
  <c r="O440" i="8"/>
  <c r="O420" i="8"/>
  <c r="O367" i="8"/>
  <c r="O317" i="8"/>
  <c r="O267" i="8"/>
  <c r="O155" i="8"/>
  <c r="O110" i="8"/>
  <c r="O55" i="8"/>
  <c r="O477" i="8"/>
  <c r="O457" i="8"/>
  <c r="O277" i="8"/>
  <c r="O177" i="8"/>
  <c r="O77" i="8"/>
  <c r="O414" i="8"/>
  <c r="O19" i="8"/>
  <c r="O46" i="8"/>
  <c r="O454" i="8"/>
  <c r="O409" i="8"/>
  <c r="O136" i="8"/>
  <c r="O108" i="8"/>
  <c r="O88" i="8"/>
  <c r="O86" i="8"/>
  <c r="O404" i="8"/>
  <c r="O403" i="8"/>
  <c r="O353" i="8"/>
  <c r="O303" i="8"/>
  <c r="O283" i="8"/>
  <c r="O253" i="8"/>
  <c r="O203" i="8"/>
  <c r="O188" i="8"/>
  <c r="O176" i="8"/>
  <c r="O166" i="8"/>
  <c r="O121" i="8"/>
  <c r="O419" i="8"/>
  <c r="O383" i="8"/>
  <c r="O333" i="8"/>
  <c r="O233" i="8"/>
  <c r="O206" i="8"/>
  <c r="O133" i="8"/>
  <c r="O455" i="8"/>
  <c r="O407" i="8"/>
  <c r="O340" i="8"/>
  <c r="O307" i="8"/>
  <c r="O275" i="8"/>
  <c r="O225" i="8"/>
  <c r="O215" i="8"/>
  <c r="O197" i="8"/>
  <c r="O147" i="8"/>
  <c r="O145" i="8"/>
  <c r="O140" i="8"/>
  <c r="O135" i="8"/>
  <c r="O125" i="8"/>
  <c r="O100" i="8"/>
  <c r="O90" i="8"/>
  <c r="O85" i="8"/>
  <c r="O80" i="8"/>
  <c r="O47" i="8"/>
  <c r="O45" i="8"/>
  <c r="O40" i="8"/>
  <c r="O35" i="8"/>
  <c r="O25" i="8"/>
  <c r="O445" i="8"/>
  <c r="O297" i="8"/>
  <c r="O257" i="8"/>
  <c r="O240" i="8"/>
  <c r="O220" i="8"/>
  <c r="O205" i="8"/>
  <c r="O180" i="8"/>
  <c r="O427" i="8"/>
  <c r="O390" i="8"/>
  <c r="O380" i="8"/>
  <c r="O347" i="8"/>
  <c r="O280" i="8"/>
  <c r="O270" i="8"/>
  <c r="O265" i="8"/>
  <c r="O255" i="8"/>
  <c r="O247" i="8"/>
  <c r="O230" i="8"/>
  <c r="O190" i="8"/>
  <c r="O185" i="8"/>
  <c r="O175" i="8"/>
  <c r="O387" i="8"/>
  <c r="O337" i="8"/>
  <c r="O287" i="8"/>
  <c r="O237" i="8"/>
  <c r="O167" i="8"/>
  <c r="O157" i="8"/>
  <c r="O107" i="8"/>
  <c r="O67" i="8"/>
  <c r="O57" i="8"/>
  <c r="O7" i="8"/>
  <c r="O435" i="8"/>
  <c r="O475" i="8"/>
  <c r="O465" i="8"/>
  <c r="O330" i="8"/>
  <c r="O315" i="8"/>
  <c r="O464" i="8"/>
  <c r="O459" i="8"/>
  <c r="O449" i="8"/>
  <c r="O444" i="8"/>
  <c r="O439" i="8"/>
  <c r="O424" i="8"/>
  <c r="O416" i="8"/>
  <c r="O79" i="8"/>
  <c r="O74" i="8"/>
  <c r="O34" i="8"/>
  <c r="O29" i="8"/>
  <c r="O24" i="8"/>
  <c r="O425" i="8"/>
  <c r="O375" i="8"/>
  <c r="O111" i="8"/>
  <c r="O101" i="8"/>
  <c r="O96" i="8"/>
  <c r="O11" i="8"/>
  <c r="O470" i="8"/>
  <c r="O405" i="8"/>
  <c r="O365" i="8"/>
  <c r="O305" i="8"/>
  <c r="O476" i="8"/>
  <c r="O446" i="8"/>
  <c r="O396" i="8"/>
  <c r="O373" i="8"/>
  <c r="O346" i="8"/>
  <c r="O156" i="8"/>
  <c r="O467" i="8"/>
  <c r="O447" i="8"/>
  <c r="O357" i="8"/>
  <c r="O325" i="8"/>
  <c r="O290" i="8"/>
  <c r="O456" i="8"/>
  <c r="O436" i="8"/>
  <c r="O406" i="8"/>
  <c r="O356" i="8"/>
  <c r="O336" i="8"/>
  <c r="O323" i="8"/>
  <c r="O296" i="8"/>
  <c r="O273" i="8"/>
  <c r="O246" i="8"/>
  <c r="O236" i="8"/>
  <c r="O196" i="8"/>
  <c r="O178" i="8"/>
  <c r="O168" i="8"/>
  <c r="O151" i="8"/>
  <c r="O415" i="8"/>
  <c r="O397" i="8"/>
  <c r="O370" i="8"/>
  <c r="O355" i="8"/>
  <c r="O320" i="8"/>
  <c r="O469" i="8"/>
  <c r="O429" i="8"/>
  <c r="O466" i="8"/>
  <c r="O426" i="8"/>
  <c r="O306" i="8"/>
  <c r="O386" i="8"/>
  <c r="O286" i="8"/>
  <c r="O223" i="8"/>
  <c r="O163" i="8"/>
  <c r="O146" i="8"/>
  <c r="O472" i="8"/>
  <c r="O462" i="8"/>
  <c r="O452" i="8"/>
  <c r="O442" i="8"/>
  <c r="O432" i="8"/>
  <c r="O422" i="8"/>
  <c r="O412" i="8"/>
  <c r="O402" i="8"/>
  <c r="O392" i="8"/>
  <c r="O382" i="8"/>
  <c r="O372" i="8"/>
  <c r="O362" i="8"/>
  <c r="O352" i="8"/>
  <c r="O342" i="8"/>
  <c r="O332" i="8"/>
  <c r="O322" i="8"/>
  <c r="O312" i="8"/>
  <c r="O302" i="8"/>
  <c r="O292" i="8"/>
  <c r="O282" i="8"/>
  <c r="O272" i="8"/>
  <c r="O262" i="8"/>
  <c r="O252" i="8"/>
  <c r="O242" i="8"/>
  <c r="O232" i="8"/>
  <c r="O222" i="8"/>
  <c r="O212" i="8"/>
  <c r="O209" i="8"/>
  <c r="O202" i="8"/>
  <c r="O199" i="8"/>
  <c r="O192" i="8"/>
  <c r="O408" i="8"/>
  <c r="O391" i="8"/>
  <c r="O351" i="8"/>
  <c r="O288" i="8"/>
  <c r="O478" i="8"/>
  <c r="O471" i="8"/>
  <c r="O468" i="8"/>
  <c r="O461" i="8"/>
  <c r="O451" i="8"/>
  <c r="O441" i="8"/>
  <c r="O431" i="8"/>
  <c r="O418" i="8"/>
  <c r="O398" i="8"/>
  <c r="O381" i="8"/>
  <c r="O368" i="8"/>
  <c r="O358" i="8"/>
  <c r="O341" i="8"/>
  <c r="O331" i="8"/>
  <c r="O318" i="8"/>
  <c r="O311" i="8"/>
  <c r="O298" i="8"/>
  <c r="O291" i="8"/>
  <c r="O278" i="8"/>
  <c r="O268" i="8"/>
  <c r="O248" i="8"/>
  <c r="O238" i="8"/>
  <c r="O228" i="8"/>
  <c r="O221" i="8"/>
  <c r="O211" i="8"/>
  <c r="O198" i="8"/>
  <c r="O479" i="8"/>
  <c r="O458" i="8"/>
  <c r="O448" i="8"/>
  <c r="O438" i="8"/>
  <c r="O428" i="8"/>
  <c r="O421" i="8"/>
  <c r="O411" i="8"/>
  <c r="O401" i="8"/>
  <c r="O388" i="8"/>
  <c r="O378" i="8"/>
  <c r="O371" i="8"/>
  <c r="O361" i="8"/>
  <c r="O348" i="8"/>
  <c r="O338" i="8"/>
  <c r="O328" i="8"/>
  <c r="O321" i="8"/>
  <c r="O308" i="8"/>
  <c r="O301" i="8"/>
  <c r="O281" i="8"/>
  <c r="O271" i="8"/>
  <c r="O261" i="8"/>
  <c r="O258" i="8"/>
  <c r="O251" i="8"/>
  <c r="O241" i="8"/>
  <c r="O231" i="8"/>
  <c r="O218" i="8"/>
  <c r="O208" i="8"/>
  <c r="O201" i="8"/>
  <c r="D4" i="8" l="1"/>
  <c r="E4" i="8"/>
  <c r="E5" i="8" l="1"/>
  <c r="D5" i="8"/>
  <c r="C4" i="8"/>
  <c r="E6" i="8" l="1"/>
  <c r="D6" i="8"/>
  <c r="C5" i="8"/>
  <c r="E7" i="8" l="1"/>
  <c r="C6" i="8"/>
  <c r="D7" i="8"/>
  <c r="B4" i="8"/>
  <c r="F4" i="8" l="1"/>
  <c r="B4" i="11" s="1"/>
  <c r="E8" i="8"/>
  <c r="E3" i="10"/>
  <c r="C3" i="10"/>
  <c r="D3" i="10"/>
  <c r="D8" i="8"/>
  <c r="C7" i="8"/>
  <c r="B5" i="8"/>
  <c r="F5" i="8" l="1"/>
  <c r="B5" i="11" s="1"/>
  <c r="E4" i="11"/>
  <c r="E4" i="10" s="1"/>
  <c r="C4" i="11"/>
  <c r="C4" i="10" s="1"/>
  <c r="D4" i="11"/>
  <c r="D4" i="10" s="1"/>
  <c r="E9" i="8"/>
  <c r="C8" i="8"/>
  <c r="D9" i="8"/>
  <c r="B3" i="10"/>
  <c r="F3" i="11"/>
  <c r="B4" i="10"/>
  <c r="B6" i="8"/>
  <c r="F6" i="8" l="1"/>
  <c r="B6" i="11"/>
  <c r="D5" i="11"/>
  <c r="E5" i="11"/>
  <c r="C5" i="11"/>
  <c r="E10" i="8"/>
  <c r="D10" i="8"/>
  <c r="F4" i="11"/>
  <c r="C9" i="8"/>
  <c r="B7" i="8"/>
  <c r="F7" i="8" l="1"/>
  <c r="B7" i="11" s="1"/>
  <c r="E6" i="11"/>
  <c r="C6" i="11"/>
  <c r="D6" i="11"/>
  <c r="E11" i="8"/>
  <c r="C5" i="10"/>
  <c r="D5" i="10"/>
  <c r="B5" i="10"/>
  <c r="E5" i="10"/>
  <c r="C10" i="8"/>
  <c r="D11" i="8"/>
  <c r="B8" i="8"/>
  <c r="F8" i="8" l="1"/>
  <c r="B8" i="11" s="1"/>
  <c r="E7" i="11"/>
  <c r="C7" i="11"/>
  <c r="D7" i="11"/>
  <c r="E12" i="8"/>
  <c r="F5" i="11"/>
  <c r="D12" i="8"/>
  <c r="C11" i="8"/>
  <c r="B9" i="8"/>
  <c r="F9" i="8" l="1"/>
  <c r="B9" i="11" s="1"/>
  <c r="C8" i="11"/>
  <c r="E8" i="11"/>
  <c r="D8" i="11"/>
  <c r="E13" i="8"/>
  <c r="C6" i="10"/>
  <c r="D6" i="10"/>
  <c r="E6" i="10"/>
  <c r="D13" i="8"/>
  <c r="C12" i="8"/>
  <c r="B10" i="8"/>
  <c r="F10" i="8" l="1"/>
  <c r="B10" i="11" s="1"/>
  <c r="E9" i="11"/>
  <c r="C9" i="11"/>
  <c r="D9" i="11"/>
  <c r="E14" i="8"/>
  <c r="B6" i="10"/>
  <c r="F6" i="11"/>
  <c r="C13" i="8"/>
  <c r="D14" i="8"/>
  <c r="B11" i="8"/>
  <c r="F11" i="8" l="1"/>
  <c r="B11" i="11" s="1"/>
  <c r="C10" i="11"/>
  <c r="D10" i="11"/>
  <c r="E10" i="11"/>
  <c r="E15" i="8"/>
  <c r="C14" i="8"/>
  <c r="D15" i="8"/>
  <c r="B12" i="8"/>
  <c r="F12" i="8" l="1"/>
  <c r="B12" i="11"/>
  <c r="C11" i="11"/>
  <c r="D11" i="11"/>
  <c r="E11" i="11"/>
  <c r="E16" i="8"/>
  <c r="B7" i="10"/>
  <c r="D7" i="10"/>
  <c r="E7" i="10"/>
  <c r="C7" i="10"/>
  <c r="D16" i="8"/>
  <c r="C15" i="8"/>
  <c r="B13" i="8"/>
  <c r="F13" i="8" l="1"/>
  <c r="B13" i="11" s="1"/>
  <c r="D12" i="11"/>
  <c r="E12" i="11"/>
  <c r="C12" i="11"/>
  <c r="E17" i="8"/>
  <c r="F7" i="11"/>
  <c r="C16" i="8"/>
  <c r="D17" i="8"/>
  <c r="B14" i="8"/>
  <c r="F14" i="8" l="1"/>
  <c r="B14" i="11" s="1"/>
  <c r="C13" i="11"/>
  <c r="E13" i="11"/>
  <c r="D13" i="11"/>
  <c r="E18" i="8"/>
  <c r="C17" i="8"/>
  <c r="D18" i="8"/>
  <c r="B15" i="8"/>
  <c r="F15" i="8" l="1"/>
  <c r="B15" i="11"/>
  <c r="E14" i="11"/>
  <c r="C14" i="11"/>
  <c r="D14" i="11"/>
  <c r="E19" i="8"/>
  <c r="C8" i="10"/>
  <c r="E8" i="10"/>
  <c r="D8" i="10"/>
  <c r="D19" i="8"/>
  <c r="C18" i="8"/>
  <c r="B16" i="8"/>
  <c r="F16" i="8" l="1"/>
  <c r="B16" i="11" s="1"/>
  <c r="E15" i="11"/>
  <c r="D15" i="11"/>
  <c r="C15" i="11"/>
  <c r="E20" i="8"/>
  <c r="B8" i="10"/>
  <c r="F8" i="11"/>
  <c r="C19" i="8"/>
  <c r="D20" i="8"/>
  <c r="B17" i="8"/>
  <c r="F17" i="8" l="1"/>
  <c r="B17" i="11"/>
  <c r="D16" i="11"/>
  <c r="C16" i="11"/>
  <c r="E16" i="11"/>
  <c r="E21" i="8"/>
  <c r="C20" i="8"/>
  <c r="D21" i="8"/>
  <c r="B18" i="8"/>
  <c r="F18" i="8" l="1"/>
  <c r="B18" i="11"/>
  <c r="D17" i="11"/>
  <c r="C17" i="11"/>
  <c r="E17" i="11"/>
  <c r="E22" i="8"/>
  <c r="E9" i="10"/>
  <c r="D9" i="10"/>
  <c r="C9" i="10"/>
  <c r="D22" i="8"/>
  <c r="C21" i="8"/>
  <c r="B19" i="8"/>
  <c r="F19" i="8" l="1"/>
  <c r="B19" i="11"/>
  <c r="E18" i="11"/>
  <c r="C18" i="11"/>
  <c r="D18" i="11"/>
  <c r="E23" i="8"/>
  <c r="B9" i="10"/>
  <c r="F9" i="11"/>
  <c r="C22" i="8"/>
  <c r="D23" i="8"/>
  <c r="B20" i="8"/>
  <c r="F20" i="8" l="1"/>
  <c r="B20" i="11"/>
  <c r="D19" i="11"/>
  <c r="C19" i="11"/>
  <c r="E19" i="11"/>
  <c r="E24" i="8"/>
  <c r="D24" i="8"/>
  <c r="C23" i="8"/>
  <c r="B21" i="8"/>
  <c r="F21" i="8" l="1"/>
  <c r="B21" i="11"/>
  <c r="C20" i="11"/>
  <c r="D20" i="11"/>
  <c r="E20" i="11"/>
  <c r="E25" i="8"/>
  <c r="E10" i="10"/>
  <c r="C10" i="10"/>
  <c r="D10" i="10"/>
  <c r="C24" i="8"/>
  <c r="D25" i="8"/>
  <c r="B22" i="8"/>
  <c r="F22" i="8" l="1"/>
  <c r="B22" i="11"/>
  <c r="E21" i="11"/>
  <c r="C21" i="11"/>
  <c r="D21" i="11"/>
  <c r="E26" i="8"/>
  <c r="B10" i="10"/>
  <c r="F10" i="11"/>
  <c r="C25" i="8"/>
  <c r="D26" i="8"/>
  <c r="B23" i="8"/>
  <c r="F23" i="8" l="1"/>
  <c r="B23" i="11"/>
  <c r="E22" i="11"/>
  <c r="C22" i="11"/>
  <c r="D22" i="11"/>
  <c r="E27" i="8"/>
  <c r="C26" i="8"/>
  <c r="D27" i="8"/>
  <c r="B24" i="8"/>
  <c r="F24" i="8" l="1"/>
  <c r="B24" i="11"/>
  <c r="E23" i="11"/>
  <c r="D23" i="11"/>
  <c r="C23" i="11"/>
  <c r="E28" i="8"/>
  <c r="C11" i="10"/>
  <c r="E11" i="10"/>
  <c r="D11" i="10"/>
  <c r="D28" i="8"/>
  <c r="C27" i="8"/>
  <c r="B25" i="8"/>
  <c r="F25" i="8" l="1"/>
  <c r="B25" i="11"/>
  <c r="D24" i="11"/>
  <c r="E24" i="11"/>
  <c r="C24" i="11"/>
  <c r="E29" i="8"/>
  <c r="F11" i="11"/>
  <c r="B11" i="10"/>
  <c r="C28" i="8"/>
  <c r="D29" i="8"/>
  <c r="B26" i="8"/>
  <c r="F26" i="8" l="1"/>
  <c r="B26" i="11" s="1"/>
  <c r="E25" i="11"/>
  <c r="C25" i="11"/>
  <c r="D25" i="11"/>
  <c r="E30" i="8"/>
  <c r="C29" i="8"/>
  <c r="D30" i="8"/>
  <c r="B27" i="8"/>
  <c r="F27" i="8" l="1"/>
  <c r="B27" i="11"/>
  <c r="E26" i="11"/>
  <c r="C26" i="11"/>
  <c r="D26" i="11"/>
  <c r="E31" i="8"/>
  <c r="C12" i="10"/>
  <c r="D12" i="10"/>
  <c r="E12" i="10"/>
  <c r="D31" i="8"/>
  <c r="C30" i="8"/>
  <c r="B28" i="8"/>
  <c r="F28" i="8" l="1"/>
  <c r="B28" i="11"/>
  <c r="C27" i="11"/>
  <c r="E27" i="11"/>
  <c r="D27" i="11"/>
  <c r="E32" i="8"/>
  <c r="B12" i="10"/>
  <c r="F12" i="11"/>
  <c r="C31" i="8"/>
  <c r="D32" i="8"/>
  <c r="B29" i="8"/>
  <c r="F29" i="8" l="1"/>
  <c r="B29" i="11" s="1"/>
  <c r="E28" i="11"/>
  <c r="C28" i="11"/>
  <c r="D28" i="11"/>
  <c r="E33" i="8"/>
  <c r="D33" i="8"/>
  <c r="C32" i="8"/>
  <c r="B30" i="8"/>
  <c r="F30" i="8" l="1"/>
  <c r="B30" i="11" s="1"/>
  <c r="D29" i="11"/>
  <c r="C29" i="11"/>
  <c r="E29" i="11"/>
  <c r="E34" i="8"/>
  <c r="C13" i="10"/>
  <c r="E13" i="10"/>
  <c r="D13" i="10"/>
  <c r="C33" i="8"/>
  <c r="D34" i="8"/>
  <c r="B31" i="8"/>
  <c r="F31" i="8" l="1"/>
  <c r="B31" i="11" s="1"/>
  <c r="D30" i="11"/>
  <c r="E30" i="11"/>
  <c r="C30" i="11"/>
  <c r="E35" i="8"/>
  <c r="F13" i="11"/>
  <c r="B13" i="10"/>
  <c r="D35" i="8"/>
  <c r="C34" i="8"/>
  <c r="B32" i="8"/>
  <c r="F32" i="8" l="1"/>
  <c r="B32" i="11"/>
  <c r="D31" i="11"/>
  <c r="E31" i="11"/>
  <c r="C31" i="11"/>
  <c r="E36" i="8"/>
  <c r="C35" i="8"/>
  <c r="D36" i="8"/>
  <c r="B33" i="8"/>
  <c r="F33" i="8" l="1"/>
  <c r="B33" i="11"/>
  <c r="E32" i="11"/>
  <c r="C32" i="11"/>
  <c r="D32" i="11"/>
  <c r="E37" i="8"/>
  <c r="C14" i="10"/>
  <c r="D14" i="10"/>
  <c r="E14" i="10"/>
  <c r="D37" i="8"/>
  <c r="C36" i="8"/>
  <c r="B34" i="8"/>
  <c r="F34" i="8" l="1"/>
  <c r="B34" i="11"/>
  <c r="C33" i="11"/>
  <c r="D33" i="11"/>
  <c r="E33" i="11"/>
  <c r="E38" i="8"/>
  <c r="B14" i="10"/>
  <c r="F14" i="11"/>
  <c r="C37" i="8"/>
  <c r="D38" i="8"/>
  <c r="B35" i="8"/>
  <c r="F35" i="8" l="1"/>
  <c r="B35" i="11"/>
  <c r="E34" i="11"/>
  <c r="C34" i="11"/>
  <c r="D34" i="11"/>
  <c r="E39" i="8"/>
  <c r="D39" i="8"/>
  <c r="C38" i="8"/>
  <c r="B36" i="8"/>
  <c r="F36" i="8" l="1"/>
  <c r="B36" i="11"/>
  <c r="C35" i="11"/>
  <c r="D35" i="11"/>
  <c r="E35" i="11"/>
  <c r="E40" i="8"/>
  <c r="D15" i="10"/>
  <c r="C15" i="10"/>
  <c r="E15" i="10"/>
  <c r="C39" i="8"/>
  <c r="D40" i="8"/>
  <c r="B37" i="8"/>
  <c r="F37" i="8" l="1"/>
  <c r="B37" i="11"/>
  <c r="D36" i="11"/>
  <c r="C36" i="11"/>
  <c r="E36" i="11"/>
  <c r="E41" i="8"/>
  <c r="B15" i="10"/>
  <c r="F15" i="11"/>
  <c r="D41" i="8"/>
  <c r="C40" i="8"/>
  <c r="B38" i="8"/>
  <c r="F38" i="8" l="1"/>
  <c r="B38" i="11"/>
  <c r="E37" i="11"/>
  <c r="C37" i="11"/>
  <c r="D37" i="11"/>
  <c r="E42" i="8"/>
  <c r="C41" i="8"/>
  <c r="D42" i="8"/>
  <c r="B39" i="8"/>
  <c r="F39" i="8" l="1"/>
  <c r="B39" i="11" s="1"/>
  <c r="E38" i="11"/>
  <c r="D38" i="11"/>
  <c r="C38" i="11"/>
  <c r="E43" i="8"/>
  <c r="D16" i="10"/>
  <c r="C16" i="10"/>
  <c r="E16" i="10"/>
  <c r="D43" i="8"/>
  <c r="C42" i="8"/>
  <c r="B40" i="8"/>
  <c r="F40" i="8" l="1"/>
  <c r="B40" i="11"/>
  <c r="E39" i="11"/>
  <c r="D39" i="11"/>
  <c r="C39" i="11"/>
  <c r="E44" i="8"/>
  <c r="F16" i="11"/>
  <c r="B16" i="10"/>
  <c r="D44" i="8"/>
  <c r="C43" i="8"/>
  <c r="B41" i="8"/>
  <c r="F41" i="8" l="1"/>
  <c r="B41" i="11" s="1"/>
  <c r="D40" i="11"/>
  <c r="C40" i="11"/>
  <c r="E40" i="11"/>
  <c r="E45" i="8"/>
  <c r="C44" i="8"/>
  <c r="D45" i="8"/>
  <c r="B42" i="8"/>
  <c r="F42" i="8" l="1"/>
  <c r="B42" i="11"/>
  <c r="E41" i="11"/>
  <c r="C41" i="11"/>
  <c r="D41" i="11"/>
  <c r="E46" i="8"/>
  <c r="D17" i="10"/>
  <c r="E17" i="10"/>
  <c r="C17" i="10"/>
  <c r="D46" i="8"/>
  <c r="C45" i="8"/>
  <c r="B43" i="8"/>
  <c r="F43" i="8" l="1"/>
  <c r="B43" i="11"/>
  <c r="E42" i="11"/>
  <c r="C42" i="11"/>
  <c r="D42" i="11"/>
  <c r="E47" i="8"/>
  <c r="F17" i="11"/>
  <c r="B17" i="10"/>
  <c r="C46" i="8"/>
  <c r="D47" i="8"/>
  <c r="B44" i="8"/>
  <c r="F44" i="8" l="1"/>
  <c r="B44" i="11"/>
  <c r="C43" i="11"/>
  <c r="E43" i="11"/>
  <c r="D43" i="11"/>
  <c r="E48" i="8"/>
  <c r="D48" i="8"/>
  <c r="C47" i="8"/>
  <c r="B45" i="8"/>
  <c r="F45" i="8" l="1"/>
  <c r="B45" i="11"/>
  <c r="E44" i="11"/>
  <c r="C44" i="11"/>
  <c r="D44" i="11"/>
  <c r="E49" i="8"/>
  <c r="D18" i="10"/>
  <c r="E18" i="10"/>
  <c r="C18" i="10"/>
  <c r="D49" i="8"/>
  <c r="C48" i="8"/>
  <c r="B46" i="8"/>
  <c r="F46" i="8" l="1"/>
  <c r="B46" i="11"/>
  <c r="E45" i="11"/>
  <c r="C45" i="11"/>
  <c r="D45" i="11"/>
  <c r="E50" i="8"/>
  <c r="F18" i="11"/>
  <c r="B18" i="10"/>
  <c r="C49" i="8"/>
  <c r="D50" i="8"/>
  <c r="B47" i="8"/>
  <c r="F47" i="8" l="1"/>
  <c r="B47" i="11"/>
  <c r="E46" i="11"/>
  <c r="D46" i="11"/>
  <c r="C46" i="11"/>
  <c r="E51" i="8"/>
  <c r="D51" i="8"/>
  <c r="C50" i="8"/>
  <c r="B48" i="8"/>
  <c r="F48" i="8" l="1"/>
  <c r="B48" i="11"/>
  <c r="D47" i="11"/>
  <c r="E47" i="11"/>
  <c r="C47" i="11"/>
  <c r="E52" i="8"/>
  <c r="E19" i="10"/>
  <c r="C19" i="10"/>
  <c r="D19" i="10"/>
  <c r="C51" i="8"/>
  <c r="D52" i="8"/>
  <c r="B49" i="8"/>
  <c r="F49" i="8" l="1"/>
  <c r="B49" i="11" s="1"/>
  <c r="E48" i="11"/>
  <c r="D48" i="11"/>
  <c r="C48" i="11"/>
  <c r="E53" i="8"/>
  <c r="B19" i="10"/>
  <c r="F19" i="11"/>
  <c r="D53" i="8"/>
  <c r="C52" i="8"/>
  <c r="B50" i="8"/>
  <c r="F50" i="8" l="1"/>
  <c r="B50" i="11"/>
  <c r="C49" i="11"/>
  <c r="D49" i="11"/>
  <c r="E49" i="11"/>
  <c r="E54" i="8"/>
  <c r="C53" i="8"/>
  <c r="D54" i="8"/>
  <c r="B51" i="8"/>
  <c r="F51" i="8" l="1"/>
  <c r="B51" i="11"/>
  <c r="E50" i="11"/>
  <c r="D50" i="11"/>
  <c r="C50" i="11"/>
  <c r="E55" i="8"/>
  <c r="E20" i="10"/>
  <c r="C20" i="10"/>
  <c r="D20" i="10"/>
  <c r="D55" i="8"/>
  <c r="C54" i="8"/>
  <c r="B52" i="8"/>
  <c r="F52" i="8" l="1"/>
  <c r="B52" i="11"/>
  <c r="E51" i="11"/>
  <c r="D51" i="11"/>
  <c r="C51" i="11"/>
  <c r="E56" i="8"/>
  <c r="F20" i="11"/>
  <c r="B20" i="10"/>
  <c r="C55" i="8"/>
  <c r="D56" i="8"/>
  <c r="B53" i="8"/>
  <c r="F53" i="8" l="1"/>
  <c r="B53" i="11"/>
  <c r="E52" i="11"/>
  <c r="C52" i="11"/>
  <c r="D52" i="11"/>
  <c r="E57" i="8"/>
  <c r="D57" i="8"/>
  <c r="C56" i="8"/>
  <c r="B54" i="8"/>
  <c r="F54" i="8" l="1"/>
  <c r="B54" i="11" s="1"/>
  <c r="D53" i="11"/>
  <c r="C53" i="11"/>
  <c r="E53" i="11"/>
  <c r="E58" i="8"/>
  <c r="E21" i="10"/>
  <c r="C21" i="10"/>
  <c r="D21" i="10"/>
  <c r="C57" i="8"/>
  <c r="D58" i="8"/>
  <c r="B55" i="8"/>
  <c r="F55" i="8" l="1"/>
  <c r="B55" i="11"/>
  <c r="E54" i="11"/>
  <c r="C54" i="11"/>
  <c r="D54" i="11"/>
  <c r="E59" i="8"/>
  <c r="B21" i="10"/>
  <c r="F21" i="11"/>
  <c r="D59" i="8"/>
  <c r="C58" i="8"/>
  <c r="B56" i="8"/>
  <c r="F56" i="8" l="1"/>
  <c r="B56" i="11"/>
  <c r="C55" i="11"/>
  <c r="E55" i="11"/>
  <c r="D55" i="11"/>
  <c r="E60" i="8"/>
  <c r="C59" i="8"/>
  <c r="D60" i="8"/>
  <c r="B57" i="8"/>
  <c r="F57" i="8" l="1"/>
  <c r="B57" i="11"/>
  <c r="E56" i="11"/>
  <c r="D56" i="11"/>
  <c r="C56" i="11"/>
  <c r="E61" i="8"/>
  <c r="D22" i="10"/>
  <c r="C22" i="10"/>
  <c r="E22" i="10"/>
  <c r="D61" i="8"/>
  <c r="C60" i="8"/>
  <c r="B58" i="8"/>
  <c r="F58" i="8" l="1"/>
  <c r="B58" i="11"/>
  <c r="C57" i="11"/>
  <c r="E57" i="11"/>
  <c r="D57" i="11"/>
  <c r="E62" i="8"/>
  <c r="B22" i="10"/>
  <c r="F22" i="11"/>
  <c r="C61" i="8"/>
  <c r="D62" i="8"/>
  <c r="B59" i="8"/>
  <c r="F59" i="8" l="1"/>
  <c r="B59" i="11"/>
  <c r="D58" i="11"/>
  <c r="E58" i="11"/>
  <c r="C58" i="11"/>
  <c r="E63" i="8"/>
  <c r="D63" i="8"/>
  <c r="C62" i="8"/>
  <c r="B60" i="8"/>
  <c r="F60" i="8" l="1"/>
  <c r="B60" i="11"/>
  <c r="E59" i="11"/>
  <c r="D59" i="11"/>
  <c r="C59" i="11"/>
  <c r="E64" i="8"/>
  <c r="E23" i="10"/>
  <c r="D23" i="10"/>
  <c r="C23" i="10"/>
  <c r="C63" i="8"/>
  <c r="D64" i="8"/>
  <c r="B61" i="8"/>
  <c r="F61" i="8" l="1"/>
  <c r="B61" i="11"/>
  <c r="C60" i="11"/>
  <c r="D60" i="11"/>
  <c r="E60" i="11"/>
  <c r="E65" i="8"/>
  <c r="B23" i="10"/>
  <c r="F23" i="11"/>
  <c r="C64" i="8"/>
  <c r="D65" i="8"/>
  <c r="B62" i="8"/>
  <c r="F62" i="8" l="1"/>
  <c r="B62" i="11" s="1"/>
  <c r="E61" i="11"/>
  <c r="C61" i="11"/>
  <c r="D61" i="11"/>
  <c r="E66" i="8"/>
  <c r="D66" i="8"/>
  <c r="C65" i="8"/>
  <c r="B63" i="8"/>
  <c r="F63" i="8" l="1"/>
  <c r="B63" i="11"/>
  <c r="E62" i="11"/>
  <c r="D62" i="11"/>
  <c r="C62" i="11"/>
  <c r="E67" i="8"/>
  <c r="E24" i="10"/>
  <c r="C24" i="10"/>
  <c r="D24" i="10"/>
  <c r="C66" i="8"/>
  <c r="D67" i="8"/>
  <c r="B64" i="8"/>
  <c r="F64" i="8" l="1"/>
  <c r="B64" i="11" s="1"/>
  <c r="C63" i="11"/>
  <c r="D63" i="11"/>
  <c r="E63" i="11"/>
  <c r="E68" i="8"/>
  <c r="F24" i="11"/>
  <c r="B24" i="10"/>
  <c r="D68" i="8"/>
  <c r="C67" i="8"/>
  <c r="B65" i="8"/>
  <c r="F65" i="8" l="1"/>
  <c r="B65" i="11"/>
  <c r="C64" i="11"/>
  <c r="D64" i="11"/>
  <c r="E64" i="11"/>
  <c r="E69" i="8"/>
  <c r="C68" i="8"/>
  <c r="D69" i="8"/>
  <c r="B66" i="8"/>
  <c r="F66" i="8" l="1"/>
  <c r="B66" i="11" s="1"/>
  <c r="E65" i="11"/>
  <c r="C65" i="11"/>
  <c r="D65" i="11"/>
  <c r="E70" i="8"/>
  <c r="C25" i="10"/>
  <c r="E25" i="10"/>
  <c r="D25" i="10"/>
  <c r="D70" i="8"/>
  <c r="C69" i="8"/>
  <c r="B67" i="8"/>
  <c r="F67" i="8" l="1"/>
  <c r="B67" i="11" s="1"/>
  <c r="D66" i="11"/>
  <c r="C66" i="11"/>
  <c r="E66" i="11"/>
  <c r="E71" i="8"/>
  <c r="F25" i="11"/>
  <c r="B25" i="10"/>
  <c r="C70" i="8"/>
  <c r="D71" i="8"/>
  <c r="B68" i="8"/>
  <c r="F68" i="8" l="1"/>
  <c r="B68" i="11" s="1"/>
  <c r="D67" i="11"/>
  <c r="C67" i="11"/>
  <c r="E67" i="11"/>
  <c r="E72" i="8"/>
  <c r="D72" i="8"/>
  <c r="C71" i="8"/>
  <c r="B69" i="8"/>
  <c r="F69" i="8" l="1"/>
  <c r="B69" i="11"/>
  <c r="C68" i="11"/>
  <c r="E68" i="11"/>
  <c r="D68" i="11"/>
  <c r="E73" i="8"/>
  <c r="E26" i="10"/>
  <c r="D26" i="10"/>
  <c r="C26" i="10"/>
  <c r="C72" i="8"/>
  <c r="D73" i="8"/>
  <c r="B70" i="8"/>
  <c r="F70" i="8" l="1"/>
  <c r="B70" i="11"/>
  <c r="E69" i="11"/>
  <c r="C69" i="11"/>
  <c r="D69" i="11"/>
  <c r="E74" i="8"/>
  <c r="B26" i="10"/>
  <c r="F26" i="11"/>
  <c r="D74" i="8"/>
  <c r="C73" i="8"/>
  <c r="B71" i="8"/>
  <c r="F71" i="8" l="1"/>
  <c r="B71" i="11"/>
  <c r="E70" i="11"/>
  <c r="D70" i="11"/>
  <c r="C70" i="11"/>
  <c r="E75" i="8"/>
  <c r="C74" i="8"/>
  <c r="D75" i="8"/>
  <c r="B72" i="8"/>
  <c r="F72" i="8" l="1"/>
  <c r="B72" i="11"/>
  <c r="C71" i="11"/>
  <c r="D71" i="11"/>
  <c r="E71" i="11"/>
  <c r="E76" i="8"/>
  <c r="E27" i="10"/>
  <c r="D27" i="10"/>
  <c r="C27" i="10"/>
  <c r="D76" i="8"/>
  <c r="C75" i="8"/>
  <c r="B73" i="8"/>
  <c r="F73" i="8" l="1"/>
  <c r="B73" i="11"/>
  <c r="E72" i="11"/>
  <c r="D72" i="11"/>
  <c r="C72" i="11"/>
  <c r="E77" i="8"/>
  <c r="B27" i="10"/>
  <c r="F27" i="11"/>
  <c r="C76" i="8"/>
  <c r="D77" i="8"/>
  <c r="B74" i="8"/>
  <c r="F74" i="8" l="1"/>
  <c r="B74" i="11" s="1"/>
  <c r="E73" i="11"/>
  <c r="C73" i="11"/>
  <c r="D73" i="11"/>
  <c r="E78" i="8"/>
  <c r="D78" i="8"/>
  <c r="C77" i="8"/>
  <c r="B75" i="8"/>
  <c r="F75" i="8" l="1"/>
  <c r="B75" i="11"/>
  <c r="C74" i="11"/>
  <c r="D74" i="11"/>
  <c r="E74" i="11"/>
  <c r="E79" i="8"/>
  <c r="C28" i="10"/>
  <c r="D28" i="10"/>
  <c r="E28" i="10"/>
  <c r="C78" i="8"/>
  <c r="D79" i="8"/>
  <c r="B76" i="8"/>
  <c r="F76" i="8" l="1"/>
  <c r="B76" i="11"/>
  <c r="E75" i="11"/>
  <c r="C75" i="11"/>
  <c r="D75" i="11"/>
  <c r="E80" i="8"/>
  <c r="F28" i="11"/>
  <c r="B28" i="10"/>
  <c r="D80" i="8"/>
  <c r="C79" i="8"/>
  <c r="B77" i="8"/>
  <c r="F77" i="8" l="1"/>
  <c r="B77" i="11"/>
  <c r="C76" i="11"/>
  <c r="E76" i="11"/>
  <c r="D76" i="11"/>
  <c r="E81" i="8"/>
  <c r="D81" i="8"/>
  <c r="C80" i="8"/>
  <c r="B78" i="8"/>
  <c r="F78" i="8" l="1"/>
  <c r="B78" i="11"/>
  <c r="E77" i="11"/>
  <c r="C77" i="11"/>
  <c r="D77" i="11"/>
  <c r="E82" i="8"/>
  <c r="E29" i="10"/>
  <c r="C29" i="10"/>
  <c r="D29" i="10"/>
  <c r="C81" i="8"/>
  <c r="D82" i="8"/>
  <c r="B79" i="8"/>
  <c r="F79" i="8" l="1"/>
  <c r="B79" i="11"/>
  <c r="D78" i="11"/>
  <c r="C78" i="11"/>
  <c r="E78" i="11"/>
  <c r="E83" i="8"/>
  <c r="B29" i="10"/>
  <c r="F29" i="11"/>
  <c r="D83" i="8"/>
  <c r="C82" i="8"/>
  <c r="B80" i="8"/>
  <c r="F80" i="8" l="1"/>
  <c r="B80" i="11"/>
  <c r="E79" i="11"/>
  <c r="D79" i="11"/>
  <c r="C79" i="11"/>
  <c r="E84" i="8"/>
  <c r="C83" i="8"/>
  <c r="D84" i="8"/>
  <c r="B81" i="8"/>
  <c r="F81" i="8" l="1"/>
  <c r="B81" i="11"/>
  <c r="D80" i="11"/>
  <c r="C80" i="11"/>
  <c r="E80" i="11"/>
  <c r="E85" i="8"/>
  <c r="C30" i="10"/>
  <c r="E30" i="10"/>
  <c r="D30" i="10"/>
  <c r="D85" i="8"/>
  <c r="C84" i="8"/>
  <c r="B82" i="8"/>
  <c r="F82" i="8" l="1"/>
  <c r="B82" i="11"/>
  <c r="E81" i="11"/>
  <c r="C81" i="11"/>
  <c r="D81" i="11"/>
  <c r="E86" i="8"/>
  <c r="F30" i="11"/>
  <c r="B30" i="10"/>
  <c r="C85" i="8"/>
  <c r="D86" i="8"/>
  <c r="B83" i="8"/>
  <c r="F83" i="8" l="1"/>
  <c r="B83" i="11"/>
  <c r="C82" i="11"/>
  <c r="D82" i="11"/>
  <c r="E82" i="11"/>
  <c r="E87" i="8"/>
  <c r="D87" i="8"/>
  <c r="C86" i="8"/>
  <c r="B84" i="8"/>
  <c r="F84" i="8" l="1"/>
  <c r="B84" i="11"/>
  <c r="E83" i="11"/>
  <c r="C83" i="11"/>
  <c r="D83" i="11"/>
  <c r="E88" i="8"/>
  <c r="D31" i="10"/>
  <c r="E31" i="10"/>
  <c r="C31" i="10"/>
  <c r="C87" i="8"/>
  <c r="D88" i="8"/>
  <c r="B85" i="8"/>
  <c r="F85" i="8" l="1"/>
  <c r="B85" i="11"/>
  <c r="E84" i="11"/>
  <c r="C84" i="11"/>
  <c r="D84" i="11"/>
  <c r="E89" i="8"/>
  <c r="B31" i="10"/>
  <c r="F31" i="11"/>
  <c r="D89" i="8"/>
  <c r="C88" i="8"/>
  <c r="B86" i="8"/>
  <c r="F86" i="8" l="1"/>
  <c r="B86" i="11" s="1"/>
  <c r="E85" i="11"/>
  <c r="D85" i="11"/>
  <c r="C85" i="11"/>
  <c r="E90" i="8"/>
  <c r="C89" i="8"/>
  <c r="D90" i="8"/>
  <c r="B87" i="8"/>
  <c r="F87" i="8" l="1"/>
  <c r="B87" i="11"/>
  <c r="E86" i="11"/>
  <c r="C86" i="11"/>
  <c r="D86" i="11"/>
  <c r="E91" i="8"/>
  <c r="E32" i="10"/>
  <c r="D32" i="10"/>
  <c r="C32" i="10"/>
  <c r="D91" i="8"/>
  <c r="C90" i="8"/>
  <c r="B88" i="8"/>
  <c r="F88" i="8" l="1"/>
  <c r="B88" i="11" s="1"/>
  <c r="D87" i="11"/>
  <c r="C87" i="11"/>
  <c r="E87" i="11"/>
  <c r="E92" i="8"/>
  <c r="F32" i="11"/>
  <c r="B32" i="10"/>
  <c r="C91" i="8"/>
  <c r="D92" i="8"/>
  <c r="B89" i="8"/>
  <c r="F89" i="8" l="1"/>
  <c r="B89" i="11" s="1"/>
  <c r="E88" i="11"/>
  <c r="C88" i="11"/>
  <c r="D88" i="11"/>
  <c r="E93" i="8"/>
  <c r="D93" i="8"/>
  <c r="C92" i="8"/>
  <c r="B90" i="8"/>
  <c r="F90" i="8" l="1"/>
  <c r="B90" i="11" s="1"/>
  <c r="E89" i="11"/>
  <c r="C89" i="11"/>
  <c r="D89" i="11"/>
  <c r="E94" i="8"/>
  <c r="D33" i="10"/>
  <c r="E33" i="10"/>
  <c r="C33" i="10"/>
  <c r="C93" i="8"/>
  <c r="D94" i="8"/>
  <c r="B91" i="8"/>
  <c r="F91" i="8" l="1"/>
  <c r="B91" i="11"/>
  <c r="E90" i="11"/>
  <c r="C90" i="11"/>
  <c r="D90" i="11"/>
  <c r="E95" i="8"/>
  <c r="B33" i="10"/>
  <c r="F33" i="11"/>
  <c r="D95" i="8"/>
  <c r="C94" i="8"/>
  <c r="B92" i="8"/>
  <c r="F92" i="8" l="1"/>
  <c r="B92" i="11" s="1"/>
  <c r="E91" i="11"/>
  <c r="C91" i="11"/>
  <c r="D91" i="11"/>
  <c r="E96" i="8"/>
  <c r="C95" i="8"/>
  <c r="D96" i="8"/>
  <c r="B93" i="8"/>
  <c r="F93" i="8" l="1"/>
  <c r="B93" i="11" s="1"/>
  <c r="E92" i="11"/>
  <c r="D92" i="11"/>
  <c r="C92" i="11"/>
  <c r="E97" i="8"/>
  <c r="E34" i="10"/>
  <c r="D34" i="10"/>
  <c r="C34" i="10"/>
  <c r="D97" i="8"/>
  <c r="C96" i="8"/>
  <c r="B94" i="8"/>
  <c r="F94" i="8" l="1"/>
  <c r="B94" i="11"/>
  <c r="C93" i="11"/>
  <c r="E93" i="11"/>
  <c r="D93" i="11"/>
  <c r="E98" i="8"/>
  <c r="B34" i="10"/>
  <c r="F34" i="11"/>
  <c r="C97" i="8"/>
  <c r="D98" i="8"/>
  <c r="B95" i="8"/>
  <c r="F95" i="8" l="1"/>
  <c r="B95" i="11" s="1"/>
  <c r="E94" i="11"/>
  <c r="C94" i="11"/>
  <c r="D94" i="11"/>
  <c r="E99" i="8"/>
  <c r="D99" i="8"/>
  <c r="C98" i="8"/>
  <c r="B96" i="8"/>
  <c r="F96" i="8" l="1"/>
  <c r="B96" i="11" s="1"/>
  <c r="D95" i="11"/>
  <c r="E95" i="11"/>
  <c r="C95" i="11"/>
  <c r="E100" i="8"/>
  <c r="C35" i="10"/>
  <c r="D35" i="10"/>
  <c r="E35" i="10"/>
  <c r="C99" i="8"/>
  <c r="D100" i="8"/>
  <c r="B97" i="8"/>
  <c r="F97" i="8" l="1"/>
  <c r="B97" i="11"/>
  <c r="C96" i="11"/>
  <c r="D96" i="11"/>
  <c r="E96" i="11"/>
  <c r="E101" i="8"/>
  <c r="B35" i="10"/>
  <c r="F35" i="11"/>
  <c r="D101" i="8"/>
  <c r="C100" i="8"/>
  <c r="B98" i="8"/>
  <c r="F98" i="8" l="1"/>
  <c r="B98" i="11"/>
  <c r="E97" i="11"/>
  <c r="C97" i="11"/>
  <c r="D97" i="11"/>
  <c r="E102" i="8"/>
  <c r="D102" i="8"/>
  <c r="C101" i="8"/>
  <c r="B99" i="8"/>
  <c r="F99" i="8" l="1"/>
  <c r="B99" i="11"/>
  <c r="C98" i="11"/>
  <c r="E98" i="11"/>
  <c r="D98" i="11"/>
  <c r="E103" i="8"/>
  <c r="E36" i="10"/>
  <c r="C36" i="10"/>
  <c r="D36" i="10"/>
  <c r="D103" i="8"/>
  <c r="C102" i="8"/>
  <c r="B100" i="8"/>
  <c r="F100" i="8" l="1"/>
  <c r="B100" i="11"/>
  <c r="C99" i="11"/>
  <c r="E99" i="11"/>
  <c r="D99" i="11"/>
  <c r="E104" i="8"/>
  <c r="B36" i="10"/>
  <c r="F36" i="11"/>
  <c r="C103" i="8"/>
  <c r="D104" i="8"/>
  <c r="B101" i="8"/>
  <c r="F101" i="8" l="1"/>
  <c r="B101" i="11" s="1"/>
  <c r="E100" i="11"/>
  <c r="C100" i="11"/>
  <c r="D100" i="11"/>
  <c r="E105" i="8"/>
  <c r="D105" i="8"/>
  <c r="C104" i="8"/>
  <c r="B102" i="8"/>
  <c r="F102" i="8" l="1"/>
  <c r="B102" i="11"/>
  <c r="E101" i="11"/>
  <c r="D101" i="11"/>
  <c r="C101" i="11"/>
  <c r="E106" i="8"/>
  <c r="E37" i="10"/>
  <c r="D37" i="10"/>
  <c r="C37" i="10"/>
  <c r="C105" i="8"/>
  <c r="D106" i="8"/>
  <c r="B103" i="8"/>
  <c r="F103" i="8" l="1"/>
  <c r="B103" i="11"/>
  <c r="C102" i="11"/>
  <c r="E102" i="11"/>
  <c r="D102" i="11"/>
  <c r="E107" i="8"/>
  <c r="F37" i="11"/>
  <c r="B37" i="10"/>
  <c r="D107" i="8"/>
  <c r="C106" i="8"/>
  <c r="B104" i="8"/>
  <c r="F104" i="8" l="1"/>
  <c r="B104" i="11" s="1"/>
  <c r="D103" i="11"/>
  <c r="C103" i="11"/>
  <c r="E103" i="11"/>
  <c r="E108" i="8"/>
  <c r="D108" i="8"/>
  <c r="C107" i="8"/>
  <c r="B105" i="8"/>
  <c r="F105" i="8" l="1"/>
  <c r="B105" i="11" s="1"/>
  <c r="D104" i="11"/>
  <c r="E104" i="11"/>
  <c r="C104" i="11"/>
  <c r="E109" i="8"/>
  <c r="E38" i="10"/>
  <c r="D38" i="10"/>
  <c r="C38" i="10"/>
  <c r="C108" i="8"/>
  <c r="D109" i="8"/>
  <c r="B106" i="8"/>
  <c r="F106" i="8" l="1"/>
  <c r="B106" i="11"/>
  <c r="E105" i="11"/>
  <c r="D105" i="11"/>
  <c r="C105" i="11"/>
  <c r="E110" i="8"/>
  <c r="F38" i="11"/>
  <c r="B38" i="10"/>
  <c r="D110" i="8"/>
  <c r="C109" i="8"/>
  <c r="B107" i="8"/>
  <c r="F107" i="8" l="1"/>
  <c r="B107" i="11" s="1"/>
  <c r="E106" i="11"/>
  <c r="C106" i="11"/>
  <c r="D106" i="11"/>
  <c r="E111" i="8"/>
  <c r="C110" i="8"/>
  <c r="D111" i="8"/>
  <c r="B108" i="8"/>
  <c r="F108" i="8" l="1"/>
  <c r="B108" i="11"/>
  <c r="C107" i="11"/>
  <c r="D107" i="11"/>
  <c r="E107" i="11"/>
  <c r="E112" i="8"/>
  <c r="C39" i="10"/>
  <c r="E39" i="10"/>
  <c r="D39" i="10"/>
  <c r="D112" i="8"/>
  <c r="C111" i="8"/>
  <c r="B109" i="8"/>
  <c r="F109" i="8" l="1"/>
  <c r="B109" i="11" s="1"/>
  <c r="C108" i="11"/>
  <c r="E108" i="11"/>
  <c r="D108" i="11"/>
  <c r="E113" i="8"/>
  <c r="F39" i="11"/>
  <c r="B39" i="10"/>
  <c r="D113" i="8"/>
  <c r="C112" i="8"/>
  <c r="B110" i="8"/>
  <c r="F110" i="8" l="1"/>
  <c r="B110" i="11"/>
  <c r="E109" i="11"/>
  <c r="C109" i="11"/>
  <c r="D109" i="11"/>
  <c r="E114" i="8"/>
  <c r="D114" i="8"/>
  <c r="C113" i="8"/>
  <c r="B111" i="8"/>
  <c r="F111" i="8" l="1"/>
  <c r="B111" i="11"/>
  <c r="D110" i="11"/>
  <c r="E110" i="11"/>
  <c r="C110" i="11"/>
  <c r="E115" i="8"/>
  <c r="C40" i="10"/>
  <c r="D40" i="10"/>
  <c r="E40" i="10"/>
  <c r="C114" i="8"/>
  <c r="D115" i="8"/>
  <c r="B112" i="8"/>
  <c r="F112" i="8" l="1"/>
  <c r="B112" i="11" s="1"/>
  <c r="D111" i="11"/>
  <c r="C111" i="11"/>
  <c r="E111" i="11"/>
  <c r="E116" i="8"/>
  <c r="B40" i="10"/>
  <c r="F40" i="11"/>
  <c r="D116" i="8"/>
  <c r="C115" i="8"/>
  <c r="B113" i="8"/>
  <c r="F113" i="8" l="1"/>
  <c r="B113" i="11" s="1"/>
  <c r="C112" i="11"/>
  <c r="D112" i="11"/>
  <c r="E112" i="11"/>
  <c r="E117" i="8"/>
  <c r="C116" i="8"/>
  <c r="D117" i="8"/>
  <c r="B114" i="8"/>
  <c r="F114" i="8" l="1"/>
  <c r="B114" i="11"/>
  <c r="E113" i="11"/>
  <c r="C113" i="11"/>
  <c r="D113" i="11"/>
  <c r="E118" i="8"/>
  <c r="D41" i="10"/>
  <c r="C41" i="10"/>
  <c r="E41" i="10"/>
  <c r="D118" i="8"/>
  <c r="C117" i="8"/>
  <c r="B115" i="8"/>
  <c r="F115" i="8" l="1"/>
  <c r="B115" i="11" s="1"/>
  <c r="D114" i="11"/>
  <c r="C114" i="11"/>
  <c r="E114" i="11"/>
  <c r="E119" i="8"/>
  <c r="F41" i="11"/>
  <c r="B41" i="10"/>
  <c r="C118" i="8"/>
  <c r="D119" i="8"/>
  <c r="B116" i="8"/>
  <c r="F116" i="8" l="1"/>
  <c r="B116" i="11" s="1"/>
  <c r="E115" i="11"/>
  <c r="D115" i="11"/>
  <c r="C115" i="11"/>
  <c r="E120" i="8"/>
  <c r="D120" i="8"/>
  <c r="C119" i="8"/>
  <c r="B117" i="8"/>
  <c r="F117" i="8" l="1"/>
  <c r="B117" i="11"/>
  <c r="D116" i="11"/>
  <c r="C116" i="11"/>
  <c r="E116" i="11"/>
  <c r="E121" i="8"/>
  <c r="C42" i="10"/>
  <c r="D42" i="10"/>
  <c r="E42" i="10"/>
  <c r="C120" i="8"/>
  <c r="D121" i="8"/>
  <c r="B118" i="8"/>
  <c r="F118" i="8" l="1"/>
  <c r="B118" i="11"/>
  <c r="E117" i="11"/>
  <c r="C117" i="11"/>
  <c r="D117" i="11"/>
  <c r="E122" i="8"/>
  <c r="B42" i="10"/>
  <c r="F42" i="11"/>
  <c r="D122" i="8"/>
  <c r="C121" i="8"/>
  <c r="B119" i="8"/>
  <c r="F119" i="8" l="1"/>
  <c r="B119" i="11"/>
  <c r="C118" i="11"/>
  <c r="D118" i="11"/>
  <c r="E118" i="11"/>
  <c r="E123" i="8"/>
  <c r="D123" i="8"/>
  <c r="C122" i="8"/>
  <c r="B120" i="8"/>
  <c r="F120" i="8" l="1"/>
  <c r="B120" i="11" s="1"/>
  <c r="C119" i="11"/>
  <c r="E119" i="11"/>
  <c r="D119" i="11"/>
  <c r="E124" i="8"/>
  <c r="D43" i="10"/>
  <c r="E43" i="10"/>
  <c r="C43" i="10"/>
  <c r="C123" i="8"/>
  <c r="D124" i="8"/>
  <c r="B121" i="8"/>
  <c r="F121" i="8" l="1"/>
  <c r="B121" i="11"/>
  <c r="C120" i="11"/>
  <c r="D120" i="11"/>
  <c r="E120" i="11"/>
  <c r="E125" i="8"/>
  <c r="F43" i="11"/>
  <c r="B43" i="10"/>
  <c r="C124" i="8"/>
  <c r="D125" i="8"/>
  <c r="B122" i="8"/>
  <c r="F122" i="8" l="1"/>
  <c r="B122" i="11" s="1"/>
  <c r="C121" i="11"/>
  <c r="E121" i="11"/>
  <c r="D121" i="11"/>
  <c r="E126" i="8"/>
  <c r="D126" i="8"/>
  <c r="C125" i="8"/>
  <c r="B123" i="8"/>
  <c r="F123" i="8" l="1"/>
  <c r="B123" i="11"/>
  <c r="D122" i="11"/>
  <c r="E122" i="11"/>
  <c r="C122" i="11"/>
  <c r="E127" i="8"/>
  <c r="C44" i="10"/>
  <c r="D44" i="10"/>
  <c r="E44" i="10"/>
  <c r="C126" i="8"/>
  <c r="D127" i="8"/>
  <c r="B124" i="8"/>
  <c r="F124" i="8" l="1"/>
  <c r="B124" i="11"/>
  <c r="E123" i="11"/>
  <c r="C123" i="11"/>
  <c r="D123" i="11"/>
  <c r="E128" i="8"/>
  <c r="B44" i="10"/>
  <c r="F44" i="11"/>
  <c r="D128" i="8"/>
  <c r="C127" i="8"/>
  <c r="B125" i="8"/>
  <c r="F125" i="8" l="1"/>
  <c r="B125" i="11"/>
  <c r="E124" i="11"/>
  <c r="D124" i="11"/>
  <c r="C124" i="11"/>
  <c r="E129" i="8"/>
  <c r="C128" i="8"/>
  <c r="D129" i="8"/>
  <c r="B126" i="8"/>
  <c r="F126" i="8" l="1"/>
  <c r="B126" i="11"/>
  <c r="E125" i="11"/>
  <c r="C125" i="11"/>
  <c r="D125" i="11"/>
  <c r="E130" i="8"/>
  <c r="C45" i="10"/>
  <c r="E45" i="10"/>
  <c r="D45" i="10"/>
  <c r="D130" i="8"/>
  <c r="C129" i="8"/>
  <c r="B127" i="8"/>
  <c r="F127" i="8" l="1"/>
  <c r="B127" i="11"/>
  <c r="C126" i="11"/>
  <c r="E126" i="11"/>
  <c r="D126" i="11"/>
  <c r="E131" i="8"/>
  <c r="B45" i="10"/>
  <c r="F45" i="11"/>
  <c r="C130" i="8"/>
  <c r="D131" i="8"/>
  <c r="B128" i="8"/>
  <c r="F128" i="8" l="1"/>
  <c r="B128" i="11" s="1"/>
  <c r="C127" i="11"/>
  <c r="D127" i="11"/>
  <c r="E127" i="11"/>
  <c r="E132" i="8"/>
  <c r="C131" i="8"/>
  <c r="D132" i="8"/>
  <c r="B129" i="8"/>
  <c r="F129" i="8" l="1"/>
  <c r="B129" i="11"/>
  <c r="D128" i="11"/>
  <c r="C128" i="11"/>
  <c r="E128" i="11"/>
  <c r="E133" i="8"/>
  <c r="C46" i="10"/>
  <c r="D46" i="10"/>
  <c r="E46" i="10"/>
  <c r="D133" i="8"/>
  <c r="C132" i="8"/>
  <c r="B130" i="8"/>
  <c r="F130" i="8" l="1"/>
  <c r="B130" i="11" s="1"/>
  <c r="E129" i="11"/>
  <c r="C129" i="11"/>
  <c r="D129" i="11"/>
  <c r="E134" i="8"/>
  <c r="F46" i="11"/>
  <c r="B46" i="10"/>
  <c r="C133" i="8"/>
  <c r="D134" i="8"/>
  <c r="B131" i="8"/>
  <c r="F131" i="8" l="1"/>
  <c r="B131" i="11" s="1"/>
  <c r="E130" i="11"/>
  <c r="C130" i="11"/>
  <c r="D130" i="11"/>
  <c r="E135" i="8"/>
  <c r="C134" i="8"/>
  <c r="D135" i="8"/>
  <c r="B132" i="8"/>
  <c r="F132" i="8" l="1"/>
  <c r="B132" i="11"/>
  <c r="C131" i="11"/>
  <c r="D131" i="11"/>
  <c r="E131" i="11"/>
  <c r="E136" i="8"/>
  <c r="C47" i="10"/>
  <c r="E47" i="10"/>
  <c r="D47" i="10"/>
  <c r="D136" i="8"/>
  <c r="C135" i="8"/>
  <c r="B133" i="8"/>
  <c r="F133" i="8" l="1"/>
  <c r="B133" i="11"/>
  <c r="E132" i="11"/>
  <c r="C132" i="11"/>
  <c r="D132" i="11"/>
  <c r="E137" i="8"/>
  <c r="F47" i="11"/>
  <c r="B47" i="10"/>
  <c r="C136" i="8"/>
  <c r="D137" i="8"/>
  <c r="B134" i="8"/>
  <c r="F134" i="8" l="1"/>
  <c r="B134" i="11"/>
  <c r="E133" i="11"/>
  <c r="C133" i="11"/>
  <c r="D133" i="11"/>
  <c r="E138" i="8"/>
  <c r="D138" i="8"/>
  <c r="C137" i="8"/>
  <c r="B135" i="8"/>
  <c r="F135" i="8" l="1"/>
  <c r="B135" i="11" s="1"/>
  <c r="D134" i="11"/>
  <c r="E134" i="11"/>
  <c r="C134" i="11"/>
  <c r="E139" i="8"/>
  <c r="E48" i="10"/>
  <c r="C48" i="10"/>
  <c r="D48" i="10"/>
  <c r="C138" i="8"/>
  <c r="D139" i="8"/>
  <c r="B136" i="8"/>
  <c r="F136" i="8" l="1"/>
  <c r="B136" i="11" s="1"/>
  <c r="C135" i="11"/>
  <c r="D135" i="11"/>
  <c r="E135" i="11"/>
  <c r="E140" i="8"/>
  <c r="F48" i="11"/>
  <c r="B48" i="10"/>
  <c r="D140" i="8"/>
  <c r="C139" i="8"/>
  <c r="B137" i="8"/>
  <c r="F137" i="8" l="1"/>
  <c r="B137" i="11"/>
  <c r="C136" i="11"/>
  <c r="E136" i="11"/>
  <c r="D136" i="11"/>
  <c r="E141" i="8"/>
  <c r="C140" i="8"/>
  <c r="D141" i="8"/>
  <c r="B138" i="8"/>
  <c r="F138" i="8" l="1"/>
  <c r="B138" i="11"/>
  <c r="C137" i="11"/>
  <c r="D137" i="11"/>
  <c r="E137" i="11"/>
  <c r="E142" i="8"/>
  <c r="C49" i="10"/>
  <c r="D49" i="10"/>
  <c r="E49" i="10"/>
  <c r="D142" i="8"/>
  <c r="C141" i="8"/>
  <c r="B139" i="8"/>
  <c r="F139" i="8" l="1"/>
  <c r="B139" i="11"/>
  <c r="E138" i="11"/>
  <c r="D138" i="11"/>
  <c r="C138" i="11"/>
  <c r="E143" i="8"/>
  <c r="B49" i="10"/>
  <c r="F49" i="11"/>
  <c r="C142" i="8"/>
  <c r="D143" i="8"/>
  <c r="B140" i="8"/>
  <c r="F140" i="8" l="1"/>
  <c r="B140" i="11"/>
  <c r="E139" i="11"/>
  <c r="D139" i="11"/>
  <c r="C139" i="11"/>
  <c r="E144" i="8"/>
  <c r="D144" i="8"/>
  <c r="C143" i="8"/>
  <c r="B141" i="8"/>
  <c r="F141" i="8" l="1"/>
  <c r="B141" i="11"/>
  <c r="E140" i="11"/>
  <c r="C140" i="11"/>
  <c r="D140" i="11"/>
  <c r="E145" i="8"/>
  <c r="D50" i="10"/>
  <c r="C50" i="10"/>
  <c r="E50" i="10"/>
  <c r="D145" i="8"/>
  <c r="C144" i="8"/>
  <c r="B142" i="8"/>
  <c r="F142" i="8" l="1"/>
  <c r="B142" i="11" s="1"/>
  <c r="D141" i="11"/>
  <c r="C141" i="11"/>
  <c r="E141" i="11"/>
  <c r="E146" i="8"/>
  <c r="F50" i="11"/>
  <c r="B50" i="10"/>
  <c r="C145" i="8"/>
  <c r="D146" i="8"/>
  <c r="B143" i="8"/>
  <c r="F143" i="8" l="1"/>
  <c r="B143" i="11"/>
  <c r="C142" i="11"/>
  <c r="D142" i="11"/>
  <c r="E142" i="11"/>
  <c r="E147" i="8"/>
  <c r="D147" i="8"/>
  <c r="C146" i="8"/>
  <c r="B144" i="8"/>
  <c r="F144" i="8" l="1"/>
  <c r="B144" i="11"/>
  <c r="C143" i="11"/>
  <c r="D143" i="11"/>
  <c r="E143" i="11"/>
  <c r="E148" i="8"/>
  <c r="D51" i="10"/>
  <c r="C51" i="10"/>
  <c r="E51" i="10"/>
  <c r="C147" i="8"/>
  <c r="D148" i="8"/>
  <c r="B145" i="8"/>
  <c r="F145" i="8" l="1"/>
  <c r="B145" i="11"/>
  <c r="E144" i="11"/>
  <c r="D144" i="11"/>
  <c r="C144" i="11"/>
  <c r="E149" i="8"/>
  <c r="F51" i="11"/>
  <c r="B51" i="10"/>
  <c r="D149" i="8"/>
  <c r="C148" i="8"/>
  <c r="B146" i="8"/>
  <c r="F146" i="8" l="1"/>
  <c r="B146" i="11" s="1"/>
  <c r="C145" i="11"/>
  <c r="D145" i="11"/>
  <c r="E145" i="11"/>
  <c r="E150" i="8"/>
  <c r="C149" i="8"/>
  <c r="D150" i="8"/>
  <c r="B147" i="8"/>
  <c r="F147" i="8" l="1"/>
  <c r="B147" i="11" s="1"/>
  <c r="D146" i="11"/>
  <c r="E146" i="11"/>
  <c r="C146" i="11"/>
  <c r="E151" i="8"/>
  <c r="C52" i="10"/>
  <c r="E52" i="10"/>
  <c r="D52" i="10"/>
  <c r="C150" i="8"/>
  <c r="D151" i="8"/>
  <c r="B148" i="8"/>
  <c r="F148" i="8" l="1"/>
  <c r="B148" i="11"/>
  <c r="E147" i="11"/>
  <c r="D147" i="11"/>
  <c r="C147" i="11"/>
  <c r="E152" i="8"/>
  <c r="F52" i="11"/>
  <c r="B52" i="10"/>
  <c r="D152" i="8"/>
  <c r="C151" i="8"/>
  <c r="B149" i="8"/>
  <c r="F149" i="8" l="1"/>
  <c r="B149" i="11" s="1"/>
  <c r="C148" i="11"/>
  <c r="D148" i="11"/>
  <c r="E148" i="11"/>
  <c r="E153" i="8"/>
  <c r="C152" i="8"/>
  <c r="D153" i="8"/>
  <c r="B150" i="8"/>
  <c r="F150" i="8" l="1"/>
  <c r="B150" i="11" s="1"/>
  <c r="D149" i="11"/>
  <c r="C149" i="11"/>
  <c r="E149" i="11"/>
  <c r="E154" i="8"/>
  <c r="C53" i="10"/>
  <c r="D53" i="10"/>
  <c r="E53" i="10"/>
  <c r="D154" i="8"/>
  <c r="C153" i="8"/>
  <c r="B151" i="8"/>
  <c r="F151" i="8" l="1"/>
  <c r="B151" i="11" s="1"/>
  <c r="E150" i="11"/>
  <c r="D150" i="11"/>
  <c r="C150" i="11"/>
  <c r="E155" i="8"/>
  <c r="F53" i="11"/>
  <c r="B53" i="10"/>
  <c r="C154" i="8"/>
  <c r="D155" i="8"/>
  <c r="B152" i="8"/>
  <c r="F152" i="8" l="1"/>
  <c r="B152" i="11"/>
  <c r="E151" i="11"/>
  <c r="C151" i="11"/>
  <c r="D151" i="11"/>
  <c r="E156" i="8"/>
  <c r="D156" i="8"/>
  <c r="C155" i="8"/>
  <c r="B153" i="8"/>
  <c r="F153" i="8" l="1"/>
  <c r="B153" i="11" s="1"/>
  <c r="D152" i="11"/>
  <c r="C152" i="11"/>
  <c r="E152" i="11"/>
  <c r="E157" i="8"/>
  <c r="C54" i="10"/>
  <c r="D54" i="10"/>
  <c r="E54" i="10"/>
  <c r="C156" i="8"/>
  <c r="D157" i="8"/>
  <c r="B154" i="8"/>
  <c r="F154" i="8" l="1"/>
  <c r="B154" i="11" s="1"/>
  <c r="E153" i="11"/>
  <c r="D153" i="11"/>
  <c r="C153" i="11"/>
  <c r="E158" i="8"/>
  <c r="F54" i="11"/>
  <c r="B54" i="10"/>
  <c r="D158" i="8"/>
  <c r="C157" i="8"/>
  <c r="B155" i="8"/>
  <c r="F155" i="8" l="1"/>
  <c r="B155" i="11" s="1"/>
  <c r="C154" i="11"/>
  <c r="D154" i="11"/>
  <c r="E154" i="11"/>
  <c r="E159" i="8"/>
  <c r="C158" i="8"/>
  <c r="D159" i="8"/>
  <c r="B156" i="8"/>
  <c r="F156" i="8" l="1"/>
  <c r="B156" i="11"/>
  <c r="C155" i="11"/>
  <c r="D155" i="11"/>
  <c r="E155" i="11"/>
  <c r="E160" i="8"/>
  <c r="C55" i="10"/>
  <c r="E55" i="10"/>
  <c r="D55" i="10"/>
  <c r="D160" i="8"/>
  <c r="C159" i="8"/>
  <c r="B157" i="8"/>
  <c r="F157" i="8" l="1"/>
  <c r="B157" i="11"/>
  <c r="E156" i="11"/>
  <c r="C156" i="11"/>
  <c r="D156" i="11"/>
  <c r="E161" i="8"/>
  <c r="F55" i="11"/>
  <c r="B55" i="10"/>
  <c r="C160" i="8"/>
  <c r="D161" i="8"/>
  <c r="B158" i="8"/>
  <c r="F158" i="8" l="1"/>
  <c r="B158" i="11" s="1"/>
  <c r="C157" i="11"/>
  <c r="D157" i="11"/>
  <c r="E157" i="11"/>
  <c r="E162" i="8"/>
  <c r="D162" i="8"/>
  <c r="C161" i="8"/>
  <c r="B159" i="8"/>
  <c r="F159" i="8" l="1"/>
  <c r="B159" i="11"/>
  <c r="E158" i="11"/>
  <c r="C158" i="11"/>
  <c r="D158" i="11"/>
  <c r="E163" i="8"/>
  <c r="D56" i="10"/>
  <c r="E56" i="10"/>
  <c r="C56" i="10"/>
  <c r="C162" i="8"/>
  <c r="D163" i="8"/>
  <c r="B160" i="8"/>
  <c r="F160" i="8" l="1"/>
  <c r="B160" i="11" s="1"/>
  <c r="C159" i="11"/>
  <c r="E159" i="11"/>
  <c r="D159" i="11"/>
  <c r="E164" i="8"/>
  <c r="B56" i="10"/>
  <c r="F56" i="11"/>
  <c r="D164" i="8"/>
  <c r="C163" i="8"/>
  <c r="B161" i="8"/>
  <c r="F161" i="8" l="1"/>
  <c r="B161" i="11"/>
  <c r="E160" i="11"/>
  <c r="C160" i="11"/>
  <c r="D160" i="11"/>
  <c r="E165" i="8"/>
  <c r="C164" i="8"/>
  <c r="D165" i="8"/>
  <c r="B162" i="8"/>
  <c r="F162" i="8" l="1"/>
  <c r="B162" i="11" s="1"/>
  <c r="D161" i="11"/>
  <c r="C161" i="11"/>
  <c r="E161" i="11"/>
  <c r="E166" i="8"/>
  <c r="D57" i="10"/>
  <c r="C57" i="10"/>
  <c r="E57" i="10"/>
  <c r="D166" i="8"/>
  <c r="C165" i="8"/>
  <c r="B163" i="8"/>
  <c r="F163" i="8" l="1"/>
  <c r="B163" i="11"/>
  <c r="E162" i="11"/>
  <c r="C162" i="11"/>
  <c r="D162" i="11"/>
  <c r="E167" i="8"/>
  <c r="B57" i="10"/>
  <c r="F57" i="11"/>
  <c r="C166" i="8"/>
  <c r="D167" i="8"/>
  <c r="B164" i="8"/>
  <c r="F164" i="8" l="1"/>
  <c r="B164" i="11"/>
  <c r="C163" i="11"/>
  <c r="E163" i="11"/>
  <c r="D163" i="11"/>
  <c r="E168" i="8"/>
  <c r="D168" i="8"/>
  <c r="C167" i="8"/>
  <c r="B165" i="8"/>
  <c r="F165" i="8" l="1"/>
  <c r="B165" i="11" s="1"/>
  <c r="E164" i="11"/>
  <c r="D164" i="11"/>
  <c r="C164" i="11"/>
  <c r="E169" i="8"/>
  <c r="D58" i="10"/>
  <c r="C58" i="10"/>
  <c r="E58" i="10"/>
  <c r="C168" i="8"/>
  <c r="D169" i="8"/>
  <c r="B166" i="8"/>
  <c r="F166" i="8" l="1"/>
  <c r="B166" i="11"/>
  <c r="C165" i="11"/>
  <c r="D165" i="11"/>
  <c r="E165" i="11"/>
  <c r="E170" i="8"/>
  <c r="F58" i="11"/>
  <c r="B58" i="10"/>
  <c r="D170" i="8"/>
  <c r="C169" i="8"/>
  <c r="B167" i="8"/>
  <c r="F167" i="8" l="1"/>
  <c r="B167" i="11"/>
  <c r="E166" i="11"/>
  <c r="C166" i="11"/>
  <c r="D166" i="11"/>
  <c r="E171" i="8"/>
  <c r="C170" i="8"/>
  <c r="D171" i="8"/>
  <c r="B168" i="8"/>
  <c r="F168" i="8" l="1"/>
  <c r="B168" i="11" s="1"/>
  <c r="E167" i="11"/>
  <c r="C167" i="11"/>
  <c r="D167" i="11"/>
  <c r="E172" i="8"/>
  <c r="E59" i="10"/>
  <c r="C59" i="10"/>
  <c r="D59" i="10"/>
  <c r="D172" i="8"/>
  <c r="C171" i="8"/>
  <c r="B169" i="8"/>
  <c r="F169" i="8" l="1"/>
  <c r="B169" i="11" s="1"/>
  <c r="E168" i="11"/>
  <c r="C168" i="11"/>
  <c r="D168" i="11"/>
  <c r="E173" i="8"/>
  <c r="F59" i="11"/>
  <c r="B59" i="10"/>
  <c r="C172" i="8"/>
  <c r="D173" i="8"/>
  <c r="B170" i="8"/>
  <c r="F170" i="8" l="1"/>
  <c r="B170" i="11"/>
  <c r="C169" i="11"/>
  <c r="E169" i="11"/>
  <c r="D169" i="11"/>
  <c r="E174" i="8"/>
  <c r="C173" i="8"/>
  <c r="D174" i="8"/>
  <c r="B171" i="8"/>
  <c r="F171" i="8" l="1"/>
  <c r="B171" i="11"/>
  <c r="C170" i="11"/>
  <c r="D170" i="11"/>
  <c r="E170" i="11"/>
  <c r="E175" i="8"/>
  <c r="C60" i="10"/>
  <c r="D60" i="10"/>
  <c r="E60" i="10"/>
  <c r="D175" i="8"/>
  <c r="C174" i="8"/>
  <c r="B172" i="8"/>
  <c r="F172" i="8" l="1"/>
  <c r="B172" i="11"/>
  <c r="E171" i="11"/>
  <c r="C171" i="11"/>
  <c r="D171" i="11"/>
  <c r="E176" i="8"/>
  <c r="F60" i="11"/>
  <c r="B60" i="10"/>
  <c r="D176" i="8"/>
  <c r="C175" i="8"/>
  <c r="B173" i="8"/>
  <c r="F173" i="8" l="1"/>
  <c r="B173" i="11"/>
  <c r="E172" i="11"/>
  <c r="D172" i="11"/>
  <c r="C172" i="11"/>
  <c r="E177" i="8"/>
  <c r="D177" i="8"/>
  <c r="C176" i="8"/>
  <c r="B174" i="8"/>
  <c r="F174" i="8" l="1"/>
  <c r="B174" i="11"/>
  <c r="E173" i="11"/>
  <c r="D173" i="11"/>
  <c r="C173" i="11"/>
  <c r="E178" i="8"/>
  <c r="E61" i="10"/>
  <c r="C61" i="10"/>
  <c r="D61" i="10"/>
  <c r="C177" i="8"/>
  <c r="D178" i="8"/>
  <c r="B175" i="8"/>
  <c r="F175" i="8" l="1"/>
  <c r="B175" i="11"/>
  <c r="D174" i="11"/>
  <c r="C174" i="11"/>
  <c r="E174" i="11"/>
  <c r="E179" i="8"/>
  <c r="B61" i="10"/>
  <c r="F61" i="11"/>
  <c r="D179" i="8"/>
  <c r="C178" i="8"/>
  <c r="B176" i="8"/>
  <c r="F176" i="8" l="1"/>
  <c r="B176" i="11"/>
  <c r="E175" i="11"/>
  <c r="C175" i="11"/>
  <c r="D175" i="11"/>
  <c r="E180" i="8"/>
  <c r="C179" i="8"/>
  <c r="D180" i="8"/>
  <c r="B177" i="8"/>
  <c r="F177" i="8" l="1"/>
  <c r="B177" i="11" s="1"/>
  <c r="E176" i="11"/>
  <c r="C176" i="11"/>
  <c r="D176" i="11"/>
  <c r="E181" i="8"/>
  <c r="C62" i="10"/>
  <c r="D62" i="10"/>
  <c r="E62" i="10"/>
  <c r="D181" i="8"/>
  <c r="C180" i="8"/>
  <c r="B178" i="8"/>
  <c r="F178" i="8" l="1"/>
  <c r="B178" i="11"/>
  <c r="E177" i="11"/>
  <c r="C177" i="11"/>
  <c r="D177" i="11"/>
  <c r="E182" i="8"/>
  <c r="B62" i="10"/>
  <c r="F62" i="11"/>
  <c r="C181" i="8"/>
  <c r="D182" i="8"/>
  <c r="B179" i="8"/>
  <c r="F179" i="8" l="1"/>
  <c r="B179" i="11" s="1"/>
  <c r="E178" i="11"/>
  <c r="C178" i="11"/>
  <c r="D178" i="11"/>
  <c r="E183" i="8"/>
  <c r="D183" i="8"/>
  <c r="C182" i="8"/>
  <c r="B180" i="8"/>
  <c r="F180" i="8" l="1"/>
  <c r="B180" i="11"/>
  <c r="E179" i="11"/>
  <c r="D179" i="11"/>
  <c r="C179" i="11"/>
  <c r="E184" i="8"/>
  <c r="D63" i="10"/>
  <c r="E63" i="10"/>
  <c r="C63" i="10"/>
  <c r="C183" i="8"/>
  <c r="D184" i="8"/>
  <c r="B181" i="8"/>
  <c r="F181" i="8" l="1"/>
  <c r="B181" i="11"/>
  <c r="C180" i="11"/>
  <c r="D180" i="11"/>
  <c r="E180" i="11"/>
  <c r="E185" i="8"/>
  <c r="F63" i="11"/>
  <c r="B63" i="10"/>
  <c r="D185" i="8"/>
  <c r="C184" i="8"/>
  <c r="B182" i="8"/>
  <c r="F182" i="8" l="1"/>
  <c r="B182" i="11" s="1"/>
  <c r="C181" i="11"/>
  <c r="D181" i="11"/>
  <c r="E181" i="11"/>
  <c r="E186" i="8"/>
  <c r="C185" i="8"/>
  <c r="D186" i="8"/>
  <c r="B183" i="8"/>
  <c r="F183" i="8" l="1"/>
  <c r="B183" i="11"/>
  <c r="E182" i="11"/>
  <c r="D182" i="11"/>
  <c r="C182" i="11"/>
  <c r="E187" i="8"/>
  <c r="E64" i="10"/>
  <c r="C64" i="10"/>
  <c r="D64" i="10"/>
  <c r="D187" i="8"/>
  <c r="C186" i="8"/>
  <c r="B184" i="8"/>
  <c r="F184" i="8" l="1"/>
  <c r="B184" i="11"/>
  <c r="C183" i="11"/>
  <c r="D183" i="11"/>
  <c r="E183" i="11"/>
  <c r="E188" i="8"/>
  <c r="F64" i="11"/>
  <c r="B64" i="10"/>
  <c r="C187" i="8"/>
  <c r="D188" i="8"/>
  <c r="B185" i="8"/>
  <c r="F185" i="8" l="1"/>
  <c r="B185" i="11"/>
  <c r="E184" i="11"/>
  <c r="C184" i="11"/>
  <c r="D184" i="11"/>
  <c r="E189" i="8"/>
  <c r="D189" i="8"/>
  <c r="C188" i="8"/>
  <c r="B186" i="8"/>
  <c r="F186" i="8" l="1"/>
  <c r="B186" i="11" s="1"/>
  <c r="E185" i="11"/>
  <c r="D185" i="11"/>
  <c r="C185" i="11"/>
  <c r="E190" i="8"/>
  <c r="D65" i="10"/>
  <c r="E65" i="10"/>
  <c r="C65" i="10"/>
  <c r="C189" i="8"/>
  <c r="D190" i="8"/>
  <c r="B187" i="8"/>
  <c r="F187" i="8" l="1"/>
  <c r="B187" i="11" s="1"/>
  <c r="E186" i="11"/>
  <c r="C186" i="11"/>
  <c r="D186" i="11"/>
  <c r="E191" i="8"/>
  <c r="B65" i="10"/>
  <c r="F65" i="11"/>
  <c r="D191" i="8"/>
  <c r="C190" i="8"/>
  <c r="B188" i="8"/>
  <c r="F188" i="8" l="1"/>
  <c r="B188" i="11"/>
  <c r="E187" i="11"/>
  <c r="C187" i="11"/>
  <c r="D187" i="11"/>
  <c r="E192" i="8"/>
  <c r="C191" i="8"/>
  <c r="D192" i="8"/>
  <c r="B189" i="8"/>
  <c r="F189" i="8" l="1"/>
  <c r="B189" i="11"/>
  <c r="E188" i="11"/>
  <c r="D188" i="11"/>
  <c r="C188" i="11"/>
  <c r="E193" i="8"/>
  <c r="C66" i="10"/>
  <c r="E66" i="10"/>
  <c r="D66" i="10"/>
  <c r="D193" i="8"/>
  <c r="C192" i="8"/>
  <c r="B190" i="8"/>
  <c r="F190" i="8" l="1"/>
  <c r="B190" i="11"/>
  <c r="D189" i="11"/>
  <c r="C189" i="11"/>
  <c r="E189" i="11"/>
  <c r="E194" i="8"/>
  <c r="F66" i="11"/>
  <c r="B66" i="10"/>
  <c r="C193" i="8"/>
  <c r="D194" i="8"/>
  <c r="B191" i="8"/>
  <c r="F191" i="8" l="1"/>
  <c r="B191" i="11" s="1"/>
  <c r="D190" i="11"/>
  <c r="E190" i="11"/>
  <c r="C190" i="11"/>
  <c r="E195" i="8"/>
  <c r="C194" i="8"/>
  <c r="D195" i="8"/>
  <c r="B192" i="8"/>
  <c r="F192" i="8" l="1"/>
  <c r="B192" i="11"/>
  <c r="E191" i="11"/>
  <c r="C191" i="11"/>
  <c r="D191" i="11"/>
  <c r="E196" i="8"/>
  <c r="E67" i="10"/>
  <c r="D67" i="10"/>
  <c r="C67" i="10"/>
  <c r="D196" i="8"/>
  <c r="C195" i="8"/>
  <c r="B193" i="8"/>
  <c r="F193" i="8" l="1"/>
  <c r="B193" i="11" s="1"/>
  <c r="C192" i="11"/>
  <c r="D192" i="11"/>
  <c r="E192" i="11"/>
  <c r="E197" i="8"/>
  <c r="B67" i="10"/>
  <c r="F67" i="11"/>
  <c r="D197" i="8"/>
  <c r="C196" i="8"/>
  <c r="B194" i="8"/>
  <c r="F194" i="8" l="1"/>
  <c r="B194" i="11"/>
  <c r="E193" i="11"/>
  <c r="D193" i="11"/>
  <c r="C193" i="11"/>
  <c r="E198" i="8"/>
  <c r="C197" i="8"/>
  <c r="D198" i="8"/>
  <c r="B195" i="8"/>
  <c r="F195" i="8" l="1"/>
  <c r="B195" i="11"/>
  <c r="D194" i="11"/>
  <c r="C194" i="11"/>
  <c r="E194" i="11"/>
  <c r="E199" i="8"/>
  <c r="C68" i="10"/>
  <c r="E68" i="10"/>
  <c r="D68" i="10"/>
  <c r="D199" i="8"/>
  <c r="C198" i="8"/>
  <c r="B196" i="8"/>
  <c r="F196" i="8" l="1"/>
  <c r="B196" i="11"/>
  <c r="C195" i="11"/>
  <c r="D195" i="11"/>
  <c r="E195" i="11"/>
  <c r="E200" i="8"/>
  <c r="B68" i="10"/>
  <c r="F68" i="11"/>
  <c r="C199" i="8"/>
  <c r="D200" i="8"/>
  <c r="B197" i="8"/>
  <c r="F197" i="8" l="1"/>
  <c r="B197" i="11"/>
  <c r="E196" i="11"/>
  <c r="C196" i="11"/>
  <c r="D196" i="11"/>
  <c r="E201" i="8"/>
  <c r="D201" i="8"/>
  <c r="C200" i="8"/>
  <c r="B198" i="8"/>
  <c r="F198" i="8" l="1"/>
  <c r="B198" i="11"/>
  <c r="E197" i="11"/>
  <c r="D197" i="11"/>
  <c r="C197" i="11"/>
  <c r="E202" i="8"/>
  <c r="E69" i="10"/>
  <c r="C69" i="10"/>
  <c r="D69" i="10"/>
  <c r="C201" i="8"/>
  <c r="D202" i="8"/>
  <c r="B199" i="8"/>
  <c r="F199" i="8" l="1"/>
  <c r="B199" i="11" s="1"/>
  <c r="C198" i="11"/>
  <c r="D198" i="11"/>
  <c r="E198" i="11"/>
  <c r="E203" i="8"/>
  <c r="B69" i="10"/>
  <c r="F69" i="11"/>
  <c r="D203" i="8"/>
  <c r="C202" i="8"/>
  <c r="B200" i="8"/>
  <c r="F200" i="8" l="1"/>
  <c r="B200" i="11"/>
  <c r="E199" i="11"/>
  <c r="D199" i="11"/>
  <c r="C199" i="11"/>
  <c r="E204" i="8"/>
  <c r="C203" i="8"/>
  <c r="D204" i="8"/>
  <c r="B201" i="8"/>
  <c r="F201" i="8" l="1"/>
  <c r="B201" i="11"/>
  <c r="C200" i="11"/>
  <c r="D200" i="11"/>
  <c r="E200" i="11"/>
  <c r="E205" i="8"/>
  <c r="C70" i="10"/>
  <c r="D70" i="10"/>
  <c r="E70" i="10"/>
  <c r="D205" i="8"/>
  <c r="C204" i="8"/>
  <c r="B202" i="8"/>
  <c r="F202" i="8" l="1"/>
  <c r="B202" i="11"/>
  <c r="E201" i="11"/>
  <c r="C201" i="11"/>
  <c r="D201" i="11"/>
  <c r="E206" i="8"/>
  <c r="B70" i="10"/>
  <c r="F70" i="11"/>
  <c r="D206" i="8"/>
  <c r="C205" i="8"/>
  <c r="B203" i="8"/>
  <c r="F203" i="8" l="1"/>
  <c r="B203" i="11"/>
  <c r="C202" i="11"/>
  <c r="E202" i="11"/>
  <c r="D202" i="11"/>
  <c r="E207" i="8"/>
  <c r="C206" i="8"/>
  <c r="D207" i="8"/>
  <c r="B204" i="8"/>
  <c r="F204" i="8" l="1"/>
  <c r="B204" i="11" s="1"/>
  <c r="D203" i="11"/>
  <c r="C203" i="11"/>
  <c r="E203" i="11"/>
  <c r="E208" i="8"/>
  <c r="E71" i="10"/>
  <c r="C71" i="10"/>
  <c r="D71" i="10"/>
  <c r="D208" i="8"/>
  <c r="C207" i="8"/>
  <c r="B205" i="8"/>
  <c r="F205" i="8" l="1"/>
  <c r="B205" i="11"/>
  <c r="E204" i="11"/>
  <c r="C204" i="11"/>
  <c r="D204" i="11"/>
  <c r="E209" i="8"/>
  <c r="F71" i="11"/>
  <c r="B71" i="10"/>
  <c r="C208" i="8"/>
  <c r="D209" i="8"/>
  <c r="B206" i="8"/>
  <c r="F206" i="8" l="1"/>
  <c r="B206" i="11"/>
  <c r="E205" i="11"/>
  <c r="D205" i="11"/>
  <c r="C205" i="11"/>
  <c r="E210" i="8"/>
  <c r="D210" i="8"/>
  <c r="C209" i="8"/>
  <c r="B207" i="8"/>
  <c r="F207" i="8" l="1"/>
  <c r="B207" i="11"/>
  <c r="E206" i="11"/>
  <c r="C206" i="11"/>
  <c r="D206" i="11"/>
  <c r="E211" i="8"/>
  <c r="E72" i="10"/>
  <c r="D72" i="10"/>
  <c r="C72" i="10"/>
  <c r="C210" i="8"/>
  <c r="D211" i="8"/>
  <c r="B208" i="8"/>
  <c r="F208" i="8" l="1"/>
  <c r="B208" i="11" s="1"/>
  <c r="E207" i="11"/>
  <c r="C207" i="11"/>
  <c r="D207" i="11"/>
  <c r="E212" i="8"/>
  <c r="B72" i="10"/>
  <c r="F72" i="11"/>
  <c r="D212" i="8"/>
  <c r="C211" i="8"/>
  <c r="B209" i="8"/>
  <c r="F209" i="8" l="1"/>
  <c r="B209" i="11" s="1"/>
  <c r="E208" i="11"/>
  <c r="C208" i="11"/>
  <c r="D208" i="11"/>
  <c r="E213" i="8"/>
  <c r="C212" i="8"/>
  <c r="D213" i="8"/>
  <c r="B210" i="8"/>
  <c r="F210" i="8" l="1"/>
  <c r="B210" i="11"/>
  <c r="E209" i="11"/>
  <c r="C209" i="11"/>
  <c r="D209" i="11"/>
  <c r="E214" i="8"/>
  <c r="E73" i="10"/>
  <c r="C73" i="10"/>
  <c r="D73" i="10"/>
  <c r="D214" i="8"/>
  <c r="C213" i="8"/>
  <c r="B211" i="8"/>
  <c r="F211" i="8" l="1"/>
  <c r="B211" i="11"/>
  <c r="E210" i="11"/>
  <c r="C210" i="11"/>
  <c r="D210" i="11"/>
  <c r="E215" i="8"/>
  <c r="B73" i="10"/>
  <c r="F73" i="11"/>
  <c r="C214" i="8"/>
  <c r="D215" i="8"/>
  <c r="B212" i="8"/>
  <c r="F212" i="8" l="1"/>
  <c r="B212" i="11"/>
  <c r="C211" i="11"/>
  <c r="D211" i="11"/>
  <c r="E211" i="11"/>
  <c r="E216" i="8"/>
  <c r="D216" i="8"/>
  <c r="C215" i="8"/>
  <c r="B213" i="8"/>
  <c r="F213" i="8" l="1"/>
  <c r="B213" i="11" s="1"/>
  <c r="E212" i="11"/>
  <c r="C212" i="11"/>
  <c r="D212" i="11"/>
  <c r="E217" i="8"/>
  <c r="D74" i="10"/>
  <c r="E74" i="10"/>
  <c r="C74" i="10"/>
  <c r="D217" i="8"/>
  <c r="C216" i="8"/>
  <c r="B214" i="8"/>
  <c r="F214" i="8" l="1"/>
  <c r="B214" i="11" s="1"/>
  <c r="E213" i="11"/>
  <c r="C213" i="11"/>
  <c r="D213" i="11"/>
  <c r="E218" i="8"/>
  <c r="F74" i="11"/>
  <c r="B74" i="10"/>
  <c r="C217" i="8"/>
  <c r="D218" i="8"/>
  <c r="B215" i="8"/>
  <c r="F215" i="8" l="1"/>
  <c r="B215" i="11"/>
  <c r="C214" i="11"/>
  <c r="E214" i="11"/>
  <c r="D214" i="11"/>
  <c r="E219" i="8"/>
  <c r="D219" i="8"/>
  <c r="C218" i="8"/>
  <c r="B216" i="8"/>
  <c r="F216" i="8" l="1"/>
  <c r="B216" i="11" s="1"/>
  <c r="D215" i="11"/>
  <c r="E215" i="11"/>
  <c r="C215" i="11"/>
  <c r="E220" i="8"/>
  <c r="D75" i="10"/>
  <c r="E75" i="10"/>
  <c r="C75" i="10"/>
  <c r="C219" i="8"/>
  <c r="D220" i="8"/>
  <c r="B217" i="8"/>
  <c r="F217" i="8" l="1"/>
  <c r="B217" i="11"/>
  <c r="E216" i="11"/>
  <c r="C216" i="11"/>
  <c r="D216" i="11"/>
  <c r="E221" i="8"/>
  <c r="F75" i="11"/>
  <c r="B75" i="10"/>
  <c r="D221" i="8"/>
  <c r="C220" i="8"/>
  <c r="B218" i="8"/>
  <c r="F218" i="8" l="1"/>
  <c r="B218" i="11"/>
  <c r="E217" i="11"/>
  <c r="D217" i="11"/>
  <c r="C217" i="11"/>
  <c r="E222" i="8"/>
  <c r="C221" i="8"/>
  <c r="D222" i="8"/>
  <c r="B219" i="8"/>
  <c r="F219" i="8" l="1"/>
  <c r="B219" i="11"/>
  <c r="E218" i="11"/>
  <c r="C218" i="11"/>
  <c r="D218" i="11"/>
  <c r="E223" i="8"/>
  <c r="D76" i="10"/>
  <c r="C76" i="10"/>
  <c r="E76" i="10"/>
  <c r="D223" i="8"/>
  <c r="C222" i="8"/>
  <c r="B220" i="8"/>
  <c r="F220" i="8" l="1"/>
  <c r="B220" i="11" s="1"/>
  <c r="E219" i="11"/>
  <c r="C219" i="11"/>
  <c r="D219" i="11"/>
  <c r="E224" i="8"/>
  <c r="F76" i="11"/>
  <c r="B76" i="10"/>
  <c r="C223" i="8"/>
  <c r="D224" i="8"/>
  <c r="B221" i="8"/>
  <c r="F221" i="8" l="1"/>
  <c r="B221" i="11"/>
  <c r="E220" i="11"/>
  <c r="C220" i="11"/>
  <c r="D220" i="11"/>
  <c r="E225" i="8"/>
  <c r="D225" i="8"/>
  <c r="C224" i="8"/>
  <c r="B222" i="8"/>
  <c r="F222" i="8" l="1"/>
  <c r="B222" i="11"/>
  <c r="D221" i="11"/>
  <c r="E221" i="11"/>
  <c r="C221" i="11"/>
  <c r="E226" i="8"/>
  <c r="D77" i="10"/>
  <c r="C77" i="10"/>
  <c r="E77" i="10"/>
  <c r="C225" i="8"/>
  <c r="D226" i="8"/>
  <c r="B223" i="8"/>
  <c r="F223" i="8" l="1"/>
  <c r="B223" i="11"/>
  <c r="C222" i="11"/>
  <c r="D222" i="11"/>
  <c r="E222" i="11"/>
  <c r="E227" i="8"/>
  <c r="F77" i="11"/>
  <c r="B77" i="10"/>
  <c r="D227" i="8"/>
  <c r="C226" i="8"/>
  <c r="B224" i="8"/>
  <c r="F224" i="8" l="1"/>
  <c r="B224" i="11"/>
  <c r="E223" i="11"/>
  <c r="D223" i="11"/>
  <c r="C223" i="11"/>
  <c r="E228" i="8"/>
  <c r="C227" i="8"/>
  <c r="D228" i="8"/>
  <c r="B225" i="8"/>
  <c r="F225" i="8" l="1"/>
  <c r="B225" i="11" s="1"/>
  <c r="E224" i="11"/>
  <c r="C224" i="11"/>
  <c r="D224" i="11"/>
  <c r="E229" i="8"/>
  <c r="D78" i="10"/>
  <c r="E78" i="10"/>
  <c r="C78" i="10"/>
  <c r="D229" i="8"/>
  <c r="C228" i="8"/>
  <c r="B226" i="8"/>
  <c r="F226" i="8" l="1"/>
  <c r="B226" i="11"/>
  <c r="E225" i="11"/>
  <c r="C225" i="11"/>
  <c r="D225" i="11"/>
  <c r="E230" i="8"/>
  <c r="B78" i="10"/>
  <c r="F78" i="11"/>
  <c r="C229" i="8"/>
  <c r="D230" i="8"/>
  <c r="B227" i="8"/>
  <c r="F227" i="8" l="1"/>
  <c r="B227" i="11"/>
  <c r="C226" i="11"/>
  <c r="E226" i="11"/>
  <c r="D226" i="11"/>
  <c r="E231" i="8"/>
  <c r="D231" i="8"/>
  <c r="C230" i="8"/>
  <c r="B228" i="8"/>
  <c r="F228" i="8" l="1"/>
  <c r="B228" i="11"/>
  <c r="E227" i="11"/>
  <c r="D227" i="11"/>
  <c r="C227" i="11"/>
  <c r="E232" i="8"/>
  <c r="C79" i="10"/>
  <c r="E79" i="10"/>
  <c r="D79" i="10"/>
  <c r="C231" i="8"/>
  <c r="D232" i="8"/>
  <c r="B229" i="8"/>
  <c r="F229" i="8" l="1"/>
  <c r="B229" i="11"/>
  <c r="E228" i="11"/>
  <c r="C228" i="11"/>
  <c r="D228" i="11"/>
  <c r="E233" i="8"/>
  <c r="F79" i="11"/>
  <c r="B79" i="10"/>
  <c r="D233" i="8"/>
  <c r="C232" i="8"/>
  <c r="B230" i="8"/>
  <c r="F230" i="8" l="1"/>
  <c r="B230" i="11"/>
  <c r="C229" i="11"/>
  <c r="D229" i="11"/>
  <c r="E229" i="11"/>
  <c r="E234" i="8"/>
  <c r="C233" i="8"/>
  <c r="D234" i="8"/>
  <c r="B231" i="8"/>
  <c r="F231" i="8" l="1"/>
  <c r="B231" i="11"/>
  <c r="E230" i="11"/>
  <c r="C230" i="11"/>
  <c r="D230" i="11"/>
  <c r="E235" i="8"/>
  <c r="E80" i="10"/>
  <c r="D80" i="10"/>
  <c r="C80" i="10"/>
  <c r="D235" i="8"/>
  <c r="C234" i="8"/>
  <c r="B232" i="8"/>
  <c r="F232" i="8" l="1"/>
  <c r="B232" i="11"/>
  <c r="E231" i="11"/>
  <c r="C231" i="11"/>
  <c r="D231" i="11"/>
  <c r="E236" i="8"/>
  <c r="F80" i="11"/>
  <c r="B80" i="10"/>
  <c r="C235" i="8"/>
  <c r="D236" i="8"/>
  <c r="B233" i="8"/>
  <c r="F233" i="8" l="1"/>
  <c r="B233" i="11"/>
  <c r="E232" i="11"/>
  <c r="C232" i="11"/>
  <c r="D232" i="11"/>
  <c r="E237" i="8"/>
  <c r="D237" i="8"/>
  <c r="C236" i="8"/>
  <c r="B234" i="8"/>
  <c r="F234" i="8" l="1"/>
  <c r="B234" i="11" s="1"/>
  <c r="E233" i="11"/>
  <c r="C233" i="11"/>
  <c r="D233" i="11"/>
  <c r="E238" i="8"/>
  <c r="E81" i="10"/>
  <c r="D81" i="10"/>
  <c r="C81" i="10"/>
  <c r="C237" i="8"/>
  <c r="D238" i="8"/>
  <c r="B235" i="8"/>
  <c r="F235" i="8" l="1"/>
  <c r="B235" i="11"/>
  <c r="E234" i="11"/>
  <c r="D234" i="11"/>
  <c r="C234" i="11"/>
  <c r="E239" i="8"/>
  <c r="F81" i="11"/>
  <c r="B81" i="10"/>
  <c r="D239" i="8"/>
  <c r="C238" i="8"/>
  <c r="B236" i="8"/>
  <c r="F236" i="8" l="1"/>
  <c r="B236" i="11"/>
  <c r="E235" i="11"/>
  <c r="C235" i="11"/>
  <c r="D235" i="11"/>
  <c r="E240" i="8"/>
  <c r="C239" i="8"/>
  <c r="D240" i="8"/>
  <c r="B237" i="8"/>
  <c r="F237" i="8" l="1"/>
  <c r="B237" i="11" s="1"/>
  <c r="E236" i="11"/>
  <c r="C236" i="11"/>
  <c r="D236" i="11"/>
  <c r="E241" i="8"/>
  <c r="D82" i="10"/>
  <c r="E82" i="10"/>
  <c r="C82" i="10"/>
  <c r="D241" i="8"/>
  <c r="C240" i="8"/>
  <c r="B238" i="8"/>
  <c r="F238" i="8" l="1"/>
  <c r="B238" i="11" s="1"/>
  <c r="C237" i="11"/>
  <c r="D237" i="11"/>
  <c r="E237" i="11"/>
  <c r="E242" i="8"/>
  <c r="F82" i="11"/>
  <c r="B82" i="10"/>
  <c r="D242" i="8"/>
  <c r="C241" i="8"/>
  <c r="B239" i="8"/>
  <c r="F239" i="8" l="1"/>
  <c r="B239" i="11" s="1"/>
  <c r="C238" i="11"/>
  <c r="E238" i="11"/>
  <c r="D238" i="11"/>
  <c r="E243" i="8"/>
  <c r="C242" i="8"/>
  <c r="D243" i="8"/>
  <c r="B240" i="8"/>
  <c r="F240" i="8" l="1"/>
  <c r="B240" i="11"/>
  <c r="E239" i="11"/>
  <c r="C239" i="11"/>
  <c r="D239" i="11"/>
  <c r="E244" i="8"/>
  <c r="D83" i="10"/>
  <c r="E83" i="10"/>
  <c r="C83" i="10"/>
  <c r="D244" i="8"/>
  <c r="C243" i="8"/>
  <c r="B241" i="8"/>
  <c r="F241" i="8" l="1"/>
  <c r="B241" i="11" s="1"/>
  <c r="E240" i="11"/>
  <c r="C240" i="11"/>
  <c r="D240" i="11"/>
  <c r="E245" i="8"/>
  <c r="B83" i="10"/>
  <c r="F83" i="11"/>
  <c r="C244" i="8"/>
  <c r="D245" i="8"/>
  <c r="B242" i="8"/>
  <c r="F242" i="8" l="1"/>
  <c r="B242" i="11" s="1"/>
  <c r="E241" i="11"/>
  <c r="C241" i="11"/>
  <c r="D241" i="11"/>
  <c r="E246" i="8"/>
  <c r="D246" i="8"/>
  <c r="C245" i="8"/>
  <c r="B243" i="8"/>
  <c r="F243" i="8" l="1"/>
  <c r="B243" i="11" s="1"/>
  <c r="E242" i="11"/>
  <c r="C242" i="11"/>
  <c r="D242" i="11"/>
  <c r="E247" i="8"/>
  <c r="C84" i="10"/>
  <c r="E84" i="10"/>
  <c r="D84" i="10"/>
  <c r="C246" i="8"/>
  <c r="D247" i="8"/>
  <c r="B244" i="8"/>
  <c r="F244" i="8" l="1"/>
  <c r="B244" i="11"/>
  <c r="D243" i="11"/>
  <c r="E243" i="11"/>
  <c r="C243" i="11"/>
  <c r="E248" i="8"/>
  <c r="B84" i="10"/>
  <c r="F84" i="11"/>
  <c r="C247" i="8"/>
  <c r="D248" i="8"/>
  <c r="B245" i="8"/>
  <c r="F245" i="8" l="1"/>
  <c r="B245" i="11"/>
  <c r="E244" i="11"/>
  <c r="C244" i="11"/>
  <c r="D244" i="11"/>
  <c r="E249" i="8"/>
  <c r="D249" i="8"/>
  <c r="C248" i="8"/>
  <c r="B246" i="8"/>
  <c r="F246" i="8" l="1"/>
  <c r="B246" i="11"/>
  <c r="E245" i="11"/>
  <c r="C245" i="11"/>
  <c r="D245" i="11"/>
  <c r="E250" i="8"/>
  <c r="E85" i="10"/>
  <c r="D85" i="10"/>
  <c r="C85" i="10"/>
  <c r="C249" i="8"/>
  <c r="D250" i="8"/>
  <c r="B247" i="8"/>
  <c r="F247" i="8" l="1"/>
  <c r="B247" i="11" s="1"/>
  <c r="C246" i="11"/>
  <c r="D246" i="11"/>
  <c r="E246" i="11"/>
  <c r="E251" i="8"/>
  <c r="F85" i="11"/>
  <c r="B85" i="10"/>
  <c r="D251" i="8"/>
  <c r="C250" i="8"/>
  <c r="B248" i="8"/>
  <c r="F248" i="8" l="1"/>
  <c r="B248" i="11" s="1"/>
  <c r="E247" i="11"/>
  <c r="D247" i="11"/>
  <c r="C247" i="11"/>
  <c r="E252" i="8"/>
  <c r="C251" i="8"/>
  <c r="D252" i="8"/>
  <c r="B249" i="8"/>
  <c r="F249" i="8" l="1"/>
  <c r="B249" i="11"/>
  <c r="E248" i="11"/>
  <c r="D248" i="11"/>
  <c r="C248" i="11"/>
  <c r="E253" i="8"/>
  <c r="E86" i="10"/>
  <c r="D86" i="10"/>
  <c r="C86" i="10"/>
  <c r="D253" i="8"/>
  <c r="C252" i="8"/>
  <c r="B250" i="8"/>
  <c r="F250" i="8" l="1"/>
  <c r="B250" i="11" s="1"/>
  <c r="E249" i="11"/>
  <c r="D249" i="11"/>
  <c r="C249" i="11"/>
  <c r="E254" i="8"/>
  <c r="F86" i="11"/>
  <c r="B86" i="10"/>
  <c r="C253" i="8"/>
  <c r="D254" i="8"/>
  <c r="B251" i="8"/>
  <c r="F251" i="8" l="1"/>
  <c r="B251" i="11"/>
  <c r="E250" i="11"/>
  <c r="C250" i="11"/>
  <c r="D250" i="11"/>
  <c r="E255" i="8"/>
  <c r="D255" i="8"/>
  <c r="C254" i="8"/>
  <c r="B252" i="8"/>
  <c r="F252" i="8" l="1"/>
  <c r="B252" i="11" s="1"/>
  <c r="C251" i="11"/>
  <c r="D251" i="11"/>
  <c r="E251" i="11"/>
  <c r="E256" i="8"/>
  <c r="C87" i="10"/>
  <c r="E87" i="10"/>
  <c r="D87" i="10"/>
  <c r="C255" i="8"/>
  <c r="D256" i="8"/>
  <c r="B253" i="8"/>
  <c r="F253" i="8" l="1"/>
  <c r="B253" i="11"/>
  <c r="E252" i="11"/>
  <c r="C252" i="11"/>
  <c r="D252" i="11"/>
  <c r="E257" i="8"/>
  <c r="B87" i="10"/>
  <c r="F87" i="11"/>
  <c r="D257" i="8"/>
  <c r="C256" i="8"/>
  <c r="B254" i="8"/>
  <c r="F254" i="8" l="1"/>
  <c r="B254" i="11"/>
  <c r="C253" i="11"/>
  <c r="E253" i="11"/>
  <c r="D253" i="11"/>
  <c r="E258" i="8"/>
  <c r="D258" i="8"/>
  <c r="C257" i="8"/>
  <c r="B255" i="8"/>
  <c r="F255" i="8" l="1"/>
  <c r="B255" i="11"/>
  <c r="C254" i="11"/>
  <c r="D254" i="11"/>
  <c r="E254" i="11"/>
  <c r="E259" i="8"/>
  <c r="E88" i="10"/>
  <c r="C88" i="10"/>
  <c r="D88" i="10"/>
  <c r="C258" i="8"/>
  <c r="D259" i="8"/>
  <c r="B256" i="8"/>
  <c r="F256" i="8" l="1"/>
  <c r="B256" i="11"/>
  <c r="D255" i="11"/>
  <c r="E255" i="11"/>
  <c r="C255" i="11"/>
  <c r="E260" i="8"/>
  <c r="B88" i="10"/>
  <c r="F88" i="11"/>
  <c r="D260" i="8"/>
  <c r="C259" i="8"/>
  <c r="B257" i="8"/>
  <c r="F257" i="8" l="1"/>
  <c r="B257" i="11"/>
  <c r="D256" i="11"/>
  <c r="E256" i="11"/>
  <c r="C256" i="11"/>
  <c r="E261" i="8"/>
  <c r="D261" i="8"/>
  <c r="C260" i="8"/>
  <c r="B258" i="8"/>
  <c r="F258" i="8" l="1"/>
  <c r="B258" i="11" s="1"/>
  <c r="E257" i="11"/>
  <c r="C257" i="11"/>
  <c r="D257" i="11"/>
  <c r="E262" i="8"/>
  <c r="C89" i="10"/>
  <c r="E89" i="10"/>
  <c r="D89" i="10"/>
  <c r="C261" i="8"/>
  <c r="D262" i="8"/>
  <c r="B259" i="8"/>
  <c r="F259" i="8" l="1"/>
  <c r="B259" i="11" s="1"/>
  <c r="E258" i="11"/>
  <c r="D258" i="11"/>
  <c r="C258" i="11"/>
  <c r="E263" i="8"/>
  <c r="F89" i="11"/>
  <c r="B89" i="10"/>
  <c r="D263" i="8"/>
  <c r="C262" i="8"/>
  <c r="B260" i="8"/>
  <c r="F260" i="8" l="1"/>
  <c r="B260" i="11"/>
  <c r="E259" i="11"/>
  <c r="C259" i="11"/>
  <c r="D259" i="11"/>
  <c r="E264" i="8"/>
  <c r="C263" i="8"/>
  <c r="D264" i="8"/>
  <c r="B261" i="8"/>
  <c r="F261" i="8" l="1"/>
  <c r="B261" i="11"/>
  <c r="E260" i="11"/>
  <c r="C260" i="11"/>
  <c r="D260" i="11"/>
  <c r="E265" i="8"/>
  <c r="E90" i="10"/>
  <c r="C90" i="10"/>
  <c r="D90" i="10"/>
  <c r="D265" i="8"/>
  <c r="C264" i="8"/>
  <c r="B262" i="8"/>
  <c r="F262" i="8" l="1"/>
  <c r="B262" i="11"/>
  <c r="C261" i="11"/>
  <c r="E261" i="11"/>
  <c r="D261" i="11"/>
  <c r="E266" i="8"/>
  <c r="F90" i="11"/>
  <c r="B90" i="10"/>
  <c r="C265" i="8"/>
  <c r="D266" i="8"/>
  <c r="B263" i="8"/>
  <c r="F263" i="8" l="1"/>
  <c r="B263" i="11"/>
  <c r="E262" i="11"/>
  <c r="C262" i="11"/>
  <c r="D262" i="11"/>
  <c r="E267" i="8"/>
  <c r="D267" i="8"/>
  <c r="C266" i="8"/>
  <c r="B264" i="8"/>
  <c r="F264" i="8" l="1"/>
  <c r="B264" i="11"/>
  <c r="C263" i="11"/>
  <c r="D263" i="11"/>
  <c r="E263" i="11"/>
  <c r="E268" i="8"/>
  <c r="E91" i="10"/>
  <c r="D91" i="10"/>
  <c r="C91" i="10"/>
  <c r="C267" i="8"/>
  <c r="D268" i="8"/>
  <c r="B265" i="8"/>
  <c r="F265" i="8" l="1"/>
  <c r="B265" i="11"/>
  <c r="E264" i="11"/>
  <c r="D264" i="11"/>
  <c r="C264" i="11"/>
  <c r="E269" i="8"/>
  <c r="B91" i="10"/>
  <c r="F91" i="11"/>
  <c r="D269" i="8"/>
  <c r="C268" i="8"/>
  <c r="B266" i="8"/>
  <c r="F266" i="8" l="1"/>
  <c r="B266" i="11"/>
  <c r="C265" i="11"/>
  <c r="D265" i="11"/>
  <c r="E265" i="11"/>
  <c r="E270" i="8"/>
  <c r="C269" i="8"/>
  <c r="D270" i="8"/>
  <c r="B267" i="8"/>
  <c r="F267" i="8" l="1"/>
  <c r="B267" i="11"/>
  <c r="C266" i="11"/>
  <c r="D266" i="11"/>
  <c r="E266" i="11"/>
  <c r="E271" i="8"/>
  <c r="C92" i="10"/>
  <c r="D92" i="10"/>
  <c r="E92" i="10"/>
  <c r="D271" i="8"/>
  <c r="C270" i="8"/>
  <c r="B268" i="8"/>
  <c r="F268" i="8" l="1"/>
  <c r="B268" i="11"/>
  <c r="E267" i="11"/>
  <c r="C267" i="11"/>
  <c r="D267" i="11"/>
  <c r="E272" i="8"/>
  <c r="F92" i="11"/>
  <c r="B92" i="10"/>
  <c r="C271" i="8"/>
  <c r="D272" i="8"/>
  <c r="B269" i="8"/>
  <c r="F269" i="8" l="1"/>
  <c r="B269" i="11"/>
  <c r="E268" i="11"/>
  <c r="C268" i="11"/>
  <c r="D268" i="11"/>
  <c r="E273" i="8"/>
  <c r="D273" i="8"/>
  <c r="C272" i="8"/>
  <c r="B270" i="8"/>
  <c r="F270" i="8" l="1"/>
  <c r="B270" i="11"/>
  <c r="E269" i="11"/>
  <c r="C269" i="11"/>
  <c r="D269" i="11"/>
  <c r="E274" i="8"/>
  <c r="C93" i="10"/>
  <c r="E93" i="10"/>
  <c r="D93" i="10"/>
  <c r="C273" i="8"/>
  <c r="D274" i="8"/>
  <c r="B271" i="8"/>
  <c r="F271" i="8" l="1"/>
  <c r="B271" i="11" s="1"/>
  <c r="C270" i="11"/>
  <c r="D270" i="11"/>
  <c r="E270" i="11"/>
  <c r="E275" i="8"/>
  <c r="B93" i="10"/>
  <c r="F93" i="11"/>
  <c r="D275" i="8"/>
  <c r="C274" i="8"/>
  <c r="B272" i="8"/>
  <c r="F272" i="8" l="1"/>
  <c r="B272" i="11" s="1"/>
  <c r="C271" i="11"/>
  <c r="D271" i="11"/>
  <c r="E271" i="11"/>
  <c r="E276" i="8"/>
  <c r="C275" i="8"/>
  <c r="D276" i="8"/>
  <c r="B273" i="8"/>
  <c r="F273" i="8" l="1"/>
  <c r="B273" i="11"/>
  <c r="E272" i="11"/>
  <c r="D272" i="11"/>
  <c r="C272" i="11"/>
  <c r="E277" i="8"/>
  <c r="E94" i="10"/>
  <c r="C94" i="10"/>
  <c r="D94" i="10"/>
  <c r="D277" i="8"/>
  <c r="C276" i="8"/>
  <c r="B274" i="8"/>
  <c r="F274" i="8" l="1"/>
  <c r="B274" i="11" s="1"/>
  <c r="D273" i="11"/>
  <c r="C273" i="11"/>
  <c r="E273" i="11"/>
  <c r="E278" i="8"/>
  <c r="F94" i="11"/>
  <c r="B94" i="10"/>
  <c r="D278" i="8"/>
  <c r="C277" i="8"/>
  <c r="B275" i="8"/>
  <c r="F275" i="8" l="1"/>
  <c r="B275" i="11"/>
  <c r="D274" i="11"/>
  <c r="E274" i="11"/>
  <c r="C274" i="11"/>
  <c r="E279" i="8"/>
  <c r="C278" i="8"/>
  <c r="D279" i="8"/>
  <c r="B276" i="8"/>
  <c r="F276" i="8" l="1"/>
  <c r="B276" i="11"/>
  <c r="E275" i="11"/>
  <c r="C275" i="11"/>
  <c r="D275" i="11"/>
  <c r="E280" i="8"/>
  <c r="E95" i="10"/>
  <c r="D95" i="10"/>
  <c r="C95" i="10"/>
  <c r="D280" i="8"/>
  <c r="C279" i="8"/>
  <c r="B277" i="8"/>
  <c r="F277" i="8" l="1"/>
  <c r="B277" i="11" s="1"/>
  <c r="E276" i="11"/>
  <c r="C276" i="11"/>
  <c r="D276" i="11"/>
  <c r="E281" i="8"/>
  <c r="F95" i="11"/>
  <c r="B95" i="10"/>
  <c r="C280" i="8"/>
  <c r="D281" i="8"/>
  <c r="B278" i="8"/>
  <c r="F278" i="8" l="1"/>
  <c r="B278" i="11" s="1"/>
  <c r="C277" i="11"/>
  <c r="D277" i="11"/>
  <c r="E277" i="11"/>
  <c r="E282" i="8"/>
  <c r="C281" i="8"/>
  <c r="D282" i="8"/>
  <c r="B279" i="8"/>
  <c r="F279" i="8" l="1"/>
  <c r="B279" i="11"/>
  <c r="D278" i="11"/>
  <c r="E278" i="11"/>
  <c r="C278" i="11"/>
  <c r="E283" i="8"/>
  <c r="C96" i="10"/>
  <c r="E96" i="10"/>
  <c r="D96" i="10"/>
  <c r="D283" i="8"/>
  <c r="C282" i="8"/>
  <c r="B280" i="8"/>
  <c r="F280" i="8" l="1"/>
  <c r="B280" i="11"/>
  <c r="E279" i="11"/>
  <c r="D279" i="11"/>
  <c r="C279" i="11"/>
  <c r="E284" i="8"/>
  <c r="F96" i="11"/>
  <c r="B96" i="10"/>
  <c r="C283" i="8"/>
  <c r="D284" i="8"/>
  <c r="B281" i="8"/>
  <c r="F281" i="8" l="1"/>
  <c r="B281" i="11" s="1"/>
  <c r="E280" i="11"/>
  <c r="D280" i="11"/>
  <c r="C280" i="11"/>
  <c r="E285" i="8"/>
  <c r="D285" i="8"/>
  <c r="C284" i="8"/>
  <c r="B282" i="8"/>
  <c r="F282" i="8" l="1"/>
  <c r="B282" i="11"/>
  <c r="C281" i="11"/>
  <c r="D281" i="11"/>
  <c r="E281" i="11"/>
  <c r="E286" i="8"/>
  <c r="C97" i="10"/>
  <c r="E97" i="10"/>
  <c r="D97" i="10"/>
  <c r="C285" i="8"/>
  <c r="D286" i="8"/>
  <c r="B283" i="8"/>
  <c r="F283" i="8" l="1"/>
  <c r="B283" i="11"/>
  <c r="C282" i="11"/>
  <c r="D282" i="11"/>
  <c r="E282" i="11"/>
  <c r="E287" i="8"/>
  <c r="B97" i="10"/>
  <c r="F97" i="11"/>
  <c r="D287" i="8"/>
  <c r="C286" i="8"/>
  <c r="B284" i="8"/>
  <c r="F284" i="8" l="1"/>
  <c r="B284" i="11"/>
  <c r="C283" i="11"/>
  <c r="D283" i="11"/>
  <c r="E283" i="11"/>
  <c r="E288" i="8"/>
  <c r="D288" i="8"/>
  <c r="C287" i="8"/>
  <c r="B285" i="8"/>
  <c r="F285" i="8" l="1"/>
  <c r="B285" i="11"/>
  <c r="E284" i="11"/>
  <c r="D284" i="11"/>
  <c r="C284" i="11"/>
  <c r="E289" i="8"/>
  <c r="C98" i="10"/>
  <c r="D98" i="10"/>
  <c r="E98" i="10"/>
  <c r="C288" i="8"/>
  <c r="D289" i="8"/>
  <c r="B286" i="8"/>
  <c r="F286" i="8" l="1"/>
  <c r="B286" i="11"/>
  <c r="E285" i="11"/>
  <c r="D285" i="11"/>
  <c r="C285" i="11"/>
  <c r="E290" i="8"/>
  <c r="B98" i="10"/>
  <c r="F98" i="11"/>
  <c r="D290" i="8"/>
  <c r="C289" i="8"/>
  <c r="B287" i="8"/>
  <c r="F287" i="8" l="1"/>
  <c r="B287" i="11"/>
  <c r="E286" i="11"/>
  <c r="C286" i="11"/>
  <c r="D286" i="11"/>
  <c r="E291" i="8"/>
  <c r="C290" i="8"/>
  <c r="D291" i="8"/>
  <c r="B288" i="8"/>
  <c r="F288" i="8" l="1"/>
  <c r="B288" i="11" s="1"/>
  <c r="E287" i="11"/>
  <c r="C287" i="11"/>
  <c r="D287" i="11"/>
  <c r="E292" i="8"/>
  <c r="E99" i="10"/>
  <c r="D99" i="10"/>
  <c r="C99" i="10"/>
  <c r="D292" i="8"/>
  <c r="C291" i="8"/>
  <c r="B289" i="8"/>
  <c r="F289" i="8" l="1"/>
  <c r="B289" i="11"/>
  <c r="E288" i="11"/>
  <c r="C288" i="11"/>
  <c r="D288" i="11"/>
  <c r="E293" i="8"/>
  <c r="F99" i="11"/>
  <c r="B99" i="10"/>
  <c r="C292" i="8"/>
  <c r="D293" i="8"/>
  <c r="B290" i="8"/>
  <c r="F290" i="8" l="1"/>
  <c r="B290" i="11"/>
  <c r="C289" i="11"/>
  <c r="D289" i="11"/>
  <c r="E289" i="11"/>
  <c r="E294" i="8"/>
  <c r="D294" i="8"/>
  <c r="C293" i="8"/>
  <c r="B291" i="8"/>
  <c r="F291" i="8" l="1"/>
  <c r="B291" i="11"/>
  <c r="E290" i="11"/>
  <c r="D290" i="11"/>
  <c r="C290" i="11"/>
  <c r="E295" i="8"/>
  <c r="C100" i="10"/>
  <c r="E100" i="10"/>
  <c r="D100" i="10"/>
  <c r="C294" i="8"/>
  <c r="D295" i="8"/>
  <c r="B292" i="8"/>
  <c r="F292" i="8" l="1"/>
  <c r="B292" i="11"/>
  <c r="E291" i="11"/>
  <c r="C291" i="11"/>
  <c r="D291" i="11"/>
  <c r="E296" i="8"/>
  <c r="B100" i="10"/>
  <c r="F100" i="11"/>
  <c r="D296" i="8"/>
  <c r="C295" i="8"/>
  <c r="B293" i="8"/>
  <c r="F293" i="8" l="1"/>
  <c r="B293" i="11"/>
  <c r="D292" i="11"/>
  <c r="C292" i="11"/>
  <c r="E292" i="11"/>
  <c r="E297" i="8"/>
  <c r="C296" i="8"/>
  <c r="D297" i="8"/>
  <c r="B294" i="8"/>
  <c r="F294" i="8" l="1"/>
  <c r="B294" i="11"/>
  <c r="C293" i="11"/>
  <c r="D293" i="11"/>
  <c r="E293" i="11"/>
  <c r="E298" i="8"/>
  <c r="C101" i="10"/>
  <c r="D101" i="10"/>
  <c r="E101" i="10"/>
  <c r="D298" i="8"/>
  <c r="C297" i="8"/>
  <c r="B295" i="8"/>
  <c r="F295" i="8" l="1"/>
  <c r="B295" i="11"/>
  <c r="E294" i="11"/>
  <c r="D294" i="11"/>
  <c r="C294" i="11"/>
  <c r="E299" i="8"/>
  <c r="F101" i="11"/>
  <c r="B101" i="10"/>
  <c r="C298" i="8"/>
  <c r="D299" i="8"/>
  <c r="B296" i="8"/>
  <c r="F296" i="8" l="1"/>
  <c r="B296" i="11"/>
  <c r="C295" i="11"/>
  <c r="D295" i="11"/>
  <c r="E295" i="11"/>
  <c r="E300" i="8"/>
  <c r="D300" i="8"/>
  <c r="C299" i="8"/>
  <c r="B297" i="8"/>
  <c r="F297" i="8" l="1"/>
  <c r="B297" i="11" s="1"/>
  <c r="E296" i="11"/>
  <c r="C296" i="11"/>
  <c r="D296" i="11"/>
  <c r="E301" i="8"/>
  <c r="C102" i="10"/>
  <c r="D102" i="10"/>
  <c r="E102" i="10"/>
  <c r="C300" i="8"/>
  <c r="D301" i="8"/>
  <c r="B298" i="8"/>
  <c r="F298" i="8" l="1"/>
  <c r="B298" i="11" s="1"/>
  <c r="C297" i="11"/>
  <c r="D297" i="11"/>
  <c r="E297" i="11"/>
  <c r="E302" i="8"/>
  <c r="F102" i="11"/>
  <c r="B102" i="10"/>
  <c r="D302" i="8"/>
  <c r="C301" i="8"/>
  <c r="B299" i="8"/>
  <c r="F299" i="8" l="1"/>
  <c r="B299" i="11" s="1"/>
  <c r="E298" i="11"/>
  <c r="D298" i="11"/>
  <c r="C298" i="11"/>
  <c r="E303" i="8"/>
  <c r="C302" i="8"/>
  <c r="D303" i="8"/>
  <c r="B300" i="8"/>
  <c r="F300" i="8" l="1"/>
  <c r="B300" i="11"/>
  <c r="E299" i="11"/>
  <c r="C299" i="11"/>
  <c r="D299" i="11"/>
  <c r="E304" i="8"/>
  <c r="E103" i="10"/>
  <c r="D103" i="10"/>
  <c r="C103" i="10"/>
  <c r="D304" i="8"/>
  <c r="C303" i="8"/>
  <c r="B301" i="8"/>
  <c r="F301" i="8" l="1"/>
  <c r="B301" i="11"/>
  <c r="E300" i="11"/>
  <c r="C300" i="11"/>
  <c r="D300" i="11"/>
  <c r="E305" i="8"/>
  <c r="B103" i="10"/>
  <c r="F103" i="11"/>
  <c r="C304" i="8"/>
  <c r="D305" i="8"/>
  <c r="B302" i="8"/>
  <c r="F302" i="8" l="1"/>
  <c r="B302" i="11" s="1"/>
  <c r="D301" i="11"/>
  <c r="C301" i="11"/>
  <c r="E301" i="11"/>
  <c r="E306" i="8"/>
  <c r="C305" i="8"/>
  <c r="D306" i="8"/>
  <c r="B303" i="8"/>
  <c r="F303" i="8" l="1"/>
  <c r="B303" i="11" s="1"/>
  <c r="E302" i="11"/>
  <c r="D302" i="11"/>
  <c r="C302" i="11"/>
  <c r="E307" i="8"/>
  <c r="E104" i="10"/>
  <c r="C104" i="10"/>
  <c r="D104" i="10"/>
  <c r="D307" i="8"/>
  <c r="C306" i="8"/>
  <c r="B304" i="8"/>
  <c r="F304" i="8" l="1"/>
  <c r="B304" i="11"/>
  <c r="E303" i="11"/>
  <c r="C303" i="11"/>
  <c r="D303" i="11"/>
  <c r="E308" i="8"/>
  <c r="F104" i="11"/>
  <c r="B104" i="10"/>
  <c r="C307" i="8"/>
  <c r="D308" i="8"/>
  <c r="B305" i="8"/>
  <c r="F305" i="8" l="1"/>
  <c r="B305" i="11" s="1"/>
  <c r="C304" i="11"/>
  <c r="D304" i="11"/>
  <c r="E304" i="11"/>
  <c r="E309" i="8"/>
  <c r="D309" i="8"/>
  <c r="C308" i="8"/>
  <c r="B306" i="8"/>
  <c r="F306" i="8" l="1"/>
  <c r="B306" i="11"/>
  <c r="C305" i="11"/>
  <c r="D305" i="11"/>
  <c r="E305" i="11"/>
  <c r="E310" i="8"/>
  <c r="E105" i="10"/>
  <c r="D105" i="10"/>
  <c r="C105" i="10"/>
  <c r="C309" i="8"/>
  <c r="D310" i="8"/>
  <c r="B307" i="8"/>
  <c r="F307" i="8" l="1"/>
  <c r="B307" i="11"/>
  <c r="E306" i="11"/>
  <c r="D306" i="11"/>
  <c r="C306" i="11"/>
  <c r="E311" i="8"/>
  <c r="F105" i="11"/>
  <c r="B105" i="10"/>
  <c r="D311" i="8"/>
  <c r="C310" i="8"/>
  <c r="B308" i="8"/>
  <c r="F308" i="8" l="1"/>
  <c r="B308" i="11"/>
  <c r="D307" i="11"/>
  <c r="C307" i="11"/>
  <c r="E307" i="11"/>
  <c r="E312" i="8"/>
  <c r="C311" i="8"/>
  <c r="D312" i="8"/>
  <c r="B309" i="8"/>
  <c r="F309" i="8" l="1"/>
  <c r="B309" i="11"/>
  <c r="E308" i="11"/>
  <c r="C308" i="11"/>
  <c r="D308" i="11"/>
  <c r="E313" i="8"/>
  <c r="C106" i="10"/>
  <c r="E106" i="10"/>
  <c r="D106" i="10"/>
  <c r="D313" i="8"/>
  <c r="C312" i="8"/>
  <c r="B310" i="8"/>
  <c r="F310" i="8" l="1"/>
  <c r="B310" i="11"/>
  <c r="E309" i="11"/>
  <c r="C309" i="11"/>
  <c r="D309" i="11"/>
  <c r="E314" i="8"/>
  <c r="B106" i="10"/>
  <c r="F106" i="11"/>
  <c r="C313" i="8"/>
  <c r="D314" i="8"/>
  <c r="B311" i="8"/>
  <c r="F311" i="8" l="1"/>
  <c r="B311" i="11"/>
  <c r="C310" i="11"/>
  <c r="D310" i="11"/>
  <c r="E310" i="11"/>
  <c r="E315" i="8"/>
  <c r="D315" i="8"/>
  <c r="C314" i="8"/>
  <c r="B312" i="8"/>
  <c r="F312" i="8" l="1"/>
  <c r="B312" i="11"/>
  <c r="C311" i="11"/>
  <c r="D311" i="11"/>
  <c r="E311" i="11"/>
  <c r="E316" i="8"/>
  <c r="D107" i="10"/>
  <c r="E107" i="10"/>
  <c r="C107" i="10"/>
  <c r="C315" i="8"/>
  <c r="D316" i="8"/>
  <c r="B313" i="8"/>
  <c r="F313" i="8" l="1"/>
  <c r="B313" i="11"/>
  <c r="E312" i="11"/>
  <c r="D312" i="11"/>
  <c r="C312" i="11"/>
  <c r="E317" i="8"/>
  <c r="B107" i="10"/>
  <c r="F107" i="11"/>
  <c r="D317" i="8"/>
  <c r="C316" i="8"/>
  <c r="B314" i="8"/>
  <c r="F314" i="8" l="1"/>
  <c r="B314" i="11"/>
  <c r="C313" i="11"/>
  <c r="E313" i="11"/>
  <c r="D313" i="11"/>
  <c r="E318" i="8"/>
  <c r="C317" i="8"/>
  <c r="D318" i="8"/>
  <c r="B315" i="8"/>
  <c r="F315" i="8" l="1"/>
  <c r="B315" i="11"/>
  <c r="E314" i="11"/>
  <c r="C314" i="11"/>
  <c r="D314" i="11"/>
  <c r="E319" i="8"/>
  <c r="E108" i="10"/>
  <c r="C108" i="10"/>
  <c r="D108" i="10"/>
  <c r="D319" i="8"/>
  <c r="C318" i="8"/>
  <c r="B316" i="8"/>
  <c r="F316" i="8" l="1"/>
  <c r="B316" i="11" s="1"/>
  <c r="E315" i="11"/>
  <c r="C315" i="11"/>
  <c r="D315" i="11"/>
  <c r="E320" i="8"/>
  <c r="B108" i="10"/>
  <c r="F108" i="11"/>
  <c r="C319" i="8"/>
  <c r="D320" i="8"/>
  <c r="B317" i="8"/>
  <c r="F317" i="8" l="1"/>
  <c r="B317" i="11" s="1"/>
  <c r="C316" i="11"/>
  <c r="D316" i="11"/>
  <c r="E316" i="11"/>
  <c r="E321" i="8"/>
  <c r="D321" i="8"/>
  <c r="C320" i="8"/>
  <c r="B318" i="8"/>
  <c r="F318" i="8" l="1"/>
  <c r="B318" i="11"/>
  <c r="E317" i="11"/>
  <c r="D317" i="11"/>
  <c r="C317" i="11"/>
  <c r="E322" i="8"/>
  <c r="C109" i="10"/>
  <c r="D109" i="10"/>
  <c r="E109" i="10"/>
  <c r="C321" i="8"/>
  <c r="D322" i="8"/>
  <c r="B319" i="8"/>
  <c r="F319" i="8" l="1"/>
  <c r="B319" i="11"/>
  <c r="D318" i="11"/>
  <c r="E318" i="11"/>
  <c r="C318" i="11"/>
  <c r="E323" i="8"/>
  <c r="B109" i="10"/>
  <c r="F109" i="11"/>
  <c r="D323" i="8"/>
  <c r="C322" i="8"/>
  <c r="B320" i="8"/>
  <c r="F320" i="8" l="1"/>
  <c r="B320" i="11"/>
  <c r="C319" i="11"/>
  <c r="E319" i="11"/>
  <c r="D319" i="11"/>
  <c r="E324" i="8"/>
  <c r="D324" i="8"/>
  <c r="C323" i="8"/>
  <c r="B321" i="8"/>
  <c r="F321" i="8" l="1"/>
  <c r="B321" i="11"/>
  <c r="C320" i="11"/>
  <c r="D320" i="11"/>
  <c r="E320" i="11"/>
  <c r="E325" i="8"/>
  <c r="D110" i="10"/>
  <c r="C110" i="10"/>
  <c r="E110" i="10"/>
  <c r="C324" i="8"/>
  <c r="D325" i="8"/>
  <c r="B322" i="8"/>
  <c r="F322" i="8" l="1"/>
  <c r="B322" i="11"/>
  <c r="D321" i="11"/>
  <c r="C321" i="11"/>
  <c r="E321" i="11"/>
  <c r="E326" i="8"/>
  <c r="F110" i="11"/>
  <c r="B110" i="10"/>
  <c r="D326" i="8"/>
  <c r="C325" i="8"/>
  <c r="B323" i="8"/>
  <c r="F323" i="8" l="1"/>
  <c r="B323" i="11"/>
  <c r="D322" i="11"/>
  <c r="E322" i="11"/>
  <c r="C322" i="11"/>
  <c r="E327" i="8"/>
  <c r="C326" i="8"/>
  <c r="D327" i="8"/>
  <c r="B324" i="8"/>
  <c r="F324" i="8" l="1"/>
  <c r="B324" i="11"/>
  <c r="E323" i="11"/>
  <c r="D323" i="11"/>
  <c r="C323" i="11"/>
  <c r="E328" i="8"/>
  <c r="C111" i="10"/>
  <c r="D111" i="10"/>
  <c r="E111" i="10"/>
  <c r="D328" i="8"/>
  <c r="C327" i="8"/>
  <c r="B325" i="8"/>
  <c r="F325" i="8" l="1"/>
  <c r="B325" i="11" s="1"/>
  <c r="E324" i="11"/>
  <c r="C324" i="11"/>
  <c r="D324" i="11"/>
  <c r="E329" i="8"/>
  <c r="F111" i="11"/>
  <c r="B111" i="10"/>
  <c r="C328" i="8"/>
  <c r="D329" i="8"/>
  <c r="B326" i="8"/>
  <c r="F326" i="8" l="1"/>
  <c r="B326" i="11"/>
  <c r="C325" i="11"/>
  <c r="E325" i="11"/>
  <c r="D325" i="11"/>
  <c r="E330" i="8"/>
  <c r="D330" i="8"/>
  <c r="C329" i="8"/>
  <c r="B327" i="8"/>
  <c r="F327" i="8" l="1"/>
  <c r="B327" i="11"/>
  <c r="E326" i="11"/>
  <c r="D326" i="11"/>
  <c r="C326" i="11"/>
  <c r="E331" i="8"/>
  <c r="E112" i="10"/>
  <c r="D112" i="10"/>
  <c r="C112" i="10"/>
  <c r="C330" i="8"/>
  <c r="D331" i="8"/>
  <c r="B328" i="8"/>
  <c r="F328" i="8" l="1"/>
  <c r="B328" i="11" s="1"/>
  <c r="C327" i="11"/>
  <c r="D327" i="11"/>
  <c r="E327" i="11"/>
  <c r="E332" i="8"/>
  <c r="B112" i="10"/>
  <c r="F112" i="11"/>
  <c r="D332" i="8"/>
  <c r="C331" i="8"/>
  <c r="B329" i="8"/>
  <c r="F329" i="8" l="1"/>
  <c r="B329" i="11" s="1"/>
  <c r="E328" i="11"/>
  <c r="C328" i="11"/>
  <c r="D328" i="11"/>
  <c r="E333" i="8"/>
  <c r="C332" i="8"/>
  <c r="D333" i="8"/>
  <c r="B330" i="8"/>
  <c r="F330" i="8" l="1"/>
  <c r="B330" i="11"/>
  <c r="C329" i="11"/>
  <c r="D329" i="11"/>
  <c r="E329" i="11"/>
  <c r="E334" i="8"/>
  <c r="C113" i="10"/>
  <c r="E113" i="10"/>
  <c r="D113" i="10"/>
  <c r="D334" i="8"/>
  <c r="C333" i="8"/>
  <c r="B331" i="8"/>
  <c r="F331" i="8" l="1"/>
  <c r="B331" i="11"/>
  <c r="E330" i="11"/>
  <c r="C330" i="11"/>
  <c r="D330" i="11"/>
  <c r="E335" i="8"/>
  <c r="B113" i="10"/>
  <c r="F113" i="11"/>
  <c r="C334" i="8"/>
  <c r="D335" i="8"/>
  <c r="B332" i="8"/>
  <c r="F332" i="8" l="1"/>
  <c r="B332" i="11"/>
  <c r="E331" i="11"/>
  <c r="C331" i="11"/>
  <c r="D331" i="11"/>
  <c r="E336" i="8"/>
  <c r="C335" i="8"/>
  <c r="D336" i="8"/>
  <c r="B333" i="8"/>
  <c r="F333" i="8" l="1"/>
  <c r="B333" i="11" s="1"/>
  <c r="E332" i="11"/>
  <c r="C332" i="11"/>
  <c r="D332" i="11"/>
  <c r="E337" i="8"/>
  <c r="E114" i="10"/>
  <c r="C114" i="10"/>
  <c r="D114" i="10"/>
  <c r="D337" i="8"/>
  <c r="C336" i="8"/>
  <c r="B334" i="8"/>
  <c r="F334" i="8" l="1"/>
  <c r="B334" i="11"/>
  <c r="C333" i="11"/>
  <c r="D333" i="11"/>
  <c r="E333" i="11"/>
  <c r="E338" i="8"/>
  <c r="F114" i="11"/>
  <c r="B114" i="10"/>
  <c r="C337" i="8"/>
  <c r="D338" i="8"/>
  <c r="B335" i="8"/>
  <c r="F335" i="8" l="1"/>
  <c r="B335" i="11"/>
  <c r="D334" i="11"/>
  <c r="E334" i="11"/>
  <c r="C334" i="11"/>
  <c r="E339" i="8"/>
  <c r="D339" i="8"/>
  <c r="C338" i="8"/>
  <c r="B336" i="8"/>
  <c r="F336" i="8" l="1"/>
  <c r="B336" i="11"/>
  <c r="E335" i="11"/>
  <c r="C335" i="11"/>
  <c r="D335" i="11"/>
  <c r="E340" i="8"/>
  <c r="D115" i="10"/>
  <c r="E115" i="10"/>
  <c r="C115" i="10"/>
  <c r="C339" i="8"/>
  <c r="D340" i="8"/>
  <c r="B337" i="8"/>
  <c r="F337" i="8" l="1"/>
  <c r="B337" i="11"/>
  <c r="C336" i="11"/>
  <c r="D336" i="11"/>
  <c r="E336" i="11"/>
  <c r="E341" i="8"/>
  <c r="F115" i="11"/>
  <c r="B115" i="10"/>
  <c r="C340" i="8"/>
  <c r="D341" i="8"/>
  <c r="B338" i="8"/>
  <c r="F338" i="8" l="1"/>
  <c r="B338" i="11"/>
  <c r="E337" i="11"/>
  <c r="D337" i="11"/>
  <c r="C337" i="11"/>
  <c r="E342" i="8"/>
  <c r="C341" i="8"/>
  <c r="D342" i="8"/>
  <c r="B339" i="8"/>
  <c r="F339" i="8" l="1"/>
  <c r="B339" i="11"/>
  <c r="E338" i="11"/>
  <c r="D338" i="11"/>
  <c r="C338" i="11"/>
  <c r="E343" i="8"/>
  <c r="E116" i="10"/>
  <c r="C116" i="10"/>
  <c r="D116" i="10"/>
  <c r="D343" i="8"/>
  <c r="C342" i="8"/>
  <c r="B340" i="8"/>
  <c r="F340" i="8" l="1"/>
  <c r="B340" i="11"/>
  <c r="C339" i="11"/>
  <c r="D339" i="11"/>
  <c r="E339" i="11"/>
  <c r="E344" i="8"/>
  <c r="F116" i="11"/>
  <c r="B116" i="10"/>
  <c r="C343" i="8"/>
  <c r="D344" i="8"/>
  <c r="B341" i="8"/>
  <c r="F341" i="8" l="1"/>
  <c r="B341" i="11" s="1"/>
  <c r="E340" i="11"/>
  <c r="C340" i="11"/>
  <c r="D340" i="11"/>
  <c r="E345" i="8"/>
  <c r="D345" i="8"/>
  <c r="C344" i="8"/>
  <c r="B342" i="8"/>
  <c r="F342" i="8" l="1"/>
  <c r="B342" i="11"/>
  <c r="E341" i="11"/>
  <c r="C341" i="11"/>
  <c r="D341" i="11"/>
  <c r="E346" i="8"/>
  <c r="C117" i="10"/>
  <c r="E117" i="10"/>
  <c r="D117" i="10"/>
  <c r="C345" i="8"/>
  <c r="D346" i="8"/>
  <c r="B343" i="8"/>
  <c r="F343" i="8" l="1"/>
  <c r="B343" i="11"/>
  <c r="E342" i="11"/>
  <c r="D342" i="11"/>
  <c r="C342" i="11"/>
  <c r="E347" i="8"/>
  <c r="F117" i="11"/>
  <c r="B117" i="10"/>
  <c r="D347" i="8"/>
  <c r="C346" i="8"/>
  <c r="B344" i="8"/>
  <c r="F344" i="8" l="1"/>
  <c r="B344" i="11"/>
  <c r="E343" i="11"/>
  <c r="D343" i="11"/>
  <c r="C343" i="11"/>
  <c r="E348" i="8"/>
  <c r="C347" i="8"/>
  <c r="D348" i="8"/>
  <c r="B345" i="8"/>
  <c r="F345" i="8" l="1"/>
  <c r="B345" i="11"/>
  <c r="C344" i="11"/>
  <c r="D344" i="11"/>
  <c r="E344" i="11"/>
  <c r="E349" i="8"/>
  <c r="E118" i="10"/>
  <c r="D118" i="10"/>
  <c r="C118" i="10"/>
  <c r="D349" i="8"/>
  <c r="C348" i="8"/>
  <c r="B346" i="8"/>
  <c r="F346" i="8" l="1"/>
  <c r="B346" i="11"/>
  <c r="D345" i="11"/>
  <c r="C345" i="11"/>
  <c r="E345" i="11"/>
  <c r="E350" i="8"/>
  <c r="F118" i="11"/>
  <c r="B118" i="10"/>
  <c r="C349" i="8"/>
  <c r="D350" i="8"/>
  <c r="B347" i="8"/>
  <c r="F347" i="8" l="1"/>
  <c r="B347" i="11"/>
  <c r="C346" i="11"/>
  <c r="D346" i="11"/>
  <c r="E346" i="11"/>
  <c r="E351" i="8"/>
  <c r="D351" i="8"/>
  <c r="C350" i="8"/>
  <c r="B348" i="8"/>
  <c r="F348" i="8" l="1"/>
  <c r="B348" i="11"/>
  <c r="D347" i="11"/>
  <c r="C347" i="11"/>
  <c r="E347" i="11"/>
  <c r="E352" i="8"/>
  <c r="C119" i="10"/>
  <c r="E119" i="10"/>
  <c r="D119" i="10"/>
  <c r="C351" i="8"/>
  <c r="D352" i="8"/>
  <c r="B349" i="8"/>
  <c r="F349" i="8" l="1"/>
  <c r="B349" i="11" s="1"/>
  <c r="E348" i="11"/>
  <c r="D348" i="11"/>
  <c r="C348" i="11"/>
  <c r="E353" i="8"/>
  <c r="B119" i="10"/>
  <c r="F119" i="11"/>
  <c r="D353" i="8"/>
  <c r="C352" i="8"/>
  <c r="B350" i="8"/>
  <c r="F350" i="8" l="1"/>
  <c r="B350" i="11"/>
  <c r="C349" i="11"/>
  <c r="D349" i="11"/>
  <c r="E349" i="11"/>
  <c r="E354" i="8"/>
  <c r="C353" i="8"/>
  <c r="D354" i="8"/>
  <c r="B351" i="8"/>
  <c r="F351" i="8" l="1"/>
  <c r="B351" i="11"/>
  <c r="C350" i="11"/>
  <c r="D350" i="11"/>
  <c r="E350" i="11"/>
  <c r="E355" i="8"/>
  <c r="D120" i="10"/>
  <c r="E120" i="10"/>
  <c r="C120" i="10"/>
  <c r="D355" i="8"/>
  <c r="C354" i="8"/>
  <c r="B352" i="8"/>
  <c r="F352" i="8" l="1"/>
  <c r="B352" i="11"/>
  <c r="D351" i="11"/>
  <c r="C351" i="11"/>
  <c r="E351" i="11"/>
  <c r="E356" i="8"/>
  <c r="F120" i="11"/>
  <c r="B120" i="10"/>
  <c r="C355" i="8"/>
  <c r="D356" i="8"/>
  <c r="B353" i="8"/>
  <c r="F353" i="8" l="1"/>
  <c r="B353" i="11"/>
  <c r="D352" i="11"/>
  <c r="C352" i="11"/>
  <c r="E352" i="11"/>
  <c r="E357" i="8"/>
  <c r="D357" i="8"/>
  <c r="C356" i="8"/>
  <c r="B354" i="8"/>
  <c r="F354" i="8" l="1"/>
  <c r="B354" i="11" s="1"/>
  <c r="C353" i="11"/>
  <c r="D353" i="11"/>
  <c r="E353" i="11"/>
  <c r="E358" i="8"/>
  <c r="D121" i="10"/>
  <c r="E121" i="10"/>
  <c r="C121" i="10"/>
  <c r="C357" i="8"/>
  <c r="D358" i="8"/>
  <c r="B355" i="8"/>
  <c r="F355" i="8" l="1"/>
  <c r="B355" i="11"/>
  <c r="E354" i="11"/>
  <c r="D354" i="11"/>
  <c r="C354" i="11"/>
  <c r="E359" i="8"/>
  <c r="F121" i="11"/>
  <c r="B121" i="10"/>
  <c r="D359" i="8"/>
  <c r="C358" i="8"/>
  <c r="B356" i="8"/>
  <c r="F356" i="8" l="1"/>
  <c r="B356" i="11"/>
  <c r="E355" i="11"/>
  <c r="D355" i="11"/>
  <c r="C355" i="11"/>
  <c r="E360" i="8"/>
  <c r="C359" i="8"/>
  <c r="D360" i="8"/>
  <c r="B357" i="8"/>
  <c r="F357" i="8" l="1"/>
  <c r="B357" i="11"/>
  <c r="C356" i="11"/>
  <c r="E356" i="11"/>
  <c r="D356" i="11"/>
  <c r="E361" i="8"/>
  <c r="C122" i="10"/>
  <c r="D122" i="10"/>
  <c r="E122" i="10"/>
  <c r="D361" i="8"/>
  <c r="C360" i="8"/>
  <c r="B358" i="8"/>
  <c r="F358" i="8" l="1"/>
  <c r="B358" i="11"/>
  <c r="C357" i="11"/>
  <c r="D357" i="11"/>
  <c r="E357" i="11"/>
  <c r="E362" i="8"/>
  <c r="B122" i="10"/>
  <c r="F122" i="11"/>
  <c r="C361" i="8"/>
  <c r="D362" i="8"/>
  <c r="B359" i="8"/>
  <c r="F359" i="8" l="1"/>
  <c r="B359" i="11"/>
  <c r="C358" i="11"/>
  <c r="E358" i="11"/>
  <c r="D358" i="11"/>
  <c r="E363" i="8"/>
  <c r="D363" i="8"/>
  <c r="C362" i="8"/>
  <c r="B360" i="8"/>
  <c r="F360" i="8" l="1"/>
  <c r="B360" i="11"/>
  <c r="E359" i="11"/>
  <c r="C359" i="11"/>
  <c r="D359" i="11"/>
  <c r="E364" i="8"/>
  <c r="C123" i="10"/>
  <c r="E123" i="10"/>
  <c r="D123" i="10"/>
  <c r="C363" i="8"/>
  <c r="D364" i="8"/>
  <c r="B361" i="8"/>
  <c r="F361" i="8" l="1"/>
  <c r="B361" i="11"/>
  <c r="E360" i="11"/>
  <c r="C360" i="11"/>
  <c r="D360" i="11"/>
  <c r="E365" i="8"/>
  <c r="F123" i="11"/>
  <c r="B123" i="10"/>
  <c r="C364" i="8"/>
  <c r="D365" i="8"/>
  <c r="B362" i="8"/>
  <c r="F362" i="8" l="1"/>
  <c r="B362" i="11"/>
  <c r="D361" i="11"/>
  <c r="C361" i="11"/>
  <c r="E361" i="11"/>
  <c r="E366" i="8"/>
  <c r="D366" i="8"/>
  <c r="C365" i="8"/>
  <c r="B363" i="8"/>
  <c r="F363" i="8" l="1"/>
  <c r="B363" i="11"/>
  <c r="C362" i="11"/>
  <c r="E362" i="11"/>
  <c r="D362" i="11"/>
  <c r="E367" i="8"/>
  <c r="E124" i="10"/>
  <c r="C124" i="10"/>
  <c r="D124" i="10"/>
  <c r="C366" i="8"/>
  <c r="D367" i="8"/>
  <c r="B364" i="8"/>
  <c r="F364" i="8" l="1"/>
  <c r="B364" i="11"/>
  <c r="D363" i="11"/>
  <c r="E363" i="11"/>
  <c r="C363" i="11"/>
  <c r="E368" i="8"/>
  <c r="B124" i="10"/>
  <c r="F124" i="11"/>
  <c r="D368" i="8"/>
  <c r="C367" i="8"/>
  <c r="B365" i="8"/>
  <c r="F365" i="8" l="1"/>
  <c r="B365" i="11"/>
  <c r="E364" i="11"/>
  <c r="D364" i="11"/>
  <c r="C364" i="11"/>
  <c r="E369" i="8"/>
  <c r="C368" i="8"/>
  <c r="D369" i="8"/>
  <c r="B366" i="8"/>
  <c r="F366" i="8" l="1"/>
  <c r="B366" i="11" s="1"/>
  <c r="E365" i="11"/>
  <c r="D365" i="11"/>
  <c r="C365" i="11"/>
  <c r="E370" i="8"/>
  <c r="E125" i="10"/>
  <c r="C125" i="10"/>
  <c r="D125" i="10"/>
  <c r="D370" i="8"/>
  <c r="C369" i="8"/>
  <c r="B367" i="8"/>
  <c r="F367" i="8" l="1"/>
  <c r="B367" i="11"/>
  <c r="C366" i="11"/>
  <c r="E366" i="11"/>
  <c r="D366" i="11"/>
  <c r="E371" i="8"/>
  <c r="F125" i="11"/>
  <c r="B125" i="10"/>
  <c r="C370" i="8"/>
  <c r="D371" i="8"/>
  <c r="B368" i="8"/>
  <c r="F368" i="8" l="1"/>
  <c r="B368" i="11"/>
  <c r="E367" i="11"/>
  <c r="D367" i="11"/>
  <c r="C367" i="11"/>
  <c r="E372" i="8"/>
  <c r="C371" i="8"/>
  <c r="D372" i="8"/>
  <c r="B369" i="8"/>
  <c r="F369" i="8" l="1"/>
  <c r="B369" i="11" s="1"/>
  <c r="E368" i="11"/>
  <c r="D368" i="11"/>
  <c r="C368" i="11"/>
  <c r="E373" i="8"/>
  <c r="E126" i="10"/>
  <c r="C126" i="10"/>
  <c r="D126" i="10"/>
  <c r="D373" i="8"/>
  <c r="C372" i="8"/>
  <c r="B370" i="8"/>
  <c r="F370" i="8" l="1"/>
  <c r="B370" i="11"/>
  <c r="C369" i="11"/>
  <c r="D369" i="11"/>
  <c r="E369" i="11"/>
  <c r="E374" i="8"/>
  <c r="F126" i="11"/>
  <c r="B126" i="10"/>
  <c r="C373" i="8"/>
  <c r="D374" i="8"/>
  <c r="B371" i="8"/>
  <c r="F371" i="8" l="1"/>
  <c r="B371" i="11" s="1"/>
  <c r="E370" i="11"/>
  <c r="C370" i="11"/>
  <c r="D370" i="11"/>
  <c r="E375" i="8"/>
  <c r="D375" i="8"/>
  <c r="C374" i="8"/>
  <c r="B372" i="8"/>
  <c r="F372" i="8" l="1"/>
  <c r="B372" i="11"/>
  <c r="D371" i="11"/>
  <c r="E371" i="11"/>
  <c r="C371" i="11"/>
  <c r="E376" i="8"/>
  <c r="D127" i="10"/>
  <c r="E127" i="10"/>
  <c r="C127" i="10"/>
  <c r="C375" i="8"/>
  <c r="D376" i="8"/>
  <c r="B373" i="8"/>
  <c r="F373" i="8" l="1"/>
  <c r="B373" i="11"/>
  <c r="E372" i="11"/>
  <c r="D372" i="11"/>
  <c r="C372" i="11"/>
  <c r="E377" i="8"/>
  <c r="F127" i="11"/>
  <c r="B127" i="10"/>
  <c r="D377" i="8"/>
  <c r="C376" i="8"/>
  <c r="B374" i="8"/>
  <c r="F374" i="8" l="1"/>
  <c r="B374" i="11" s="1"/>
  <c r="E373" i="11"/>
  <c r="C373" i="11"/>
  <c r="D373" i="11"/>
  <c r="E378" i="8"/>
  <c r="C377" i="8"/>
  <c r="D378" i="8"/>
  <c r="B375" i="8"/>
  <c r="F375" i="8" l="1"/>
  <c r="B375" i="11"/>
  <c r="E374" i="11"/>
  <c r="C374" i="11"/>
  <c r="D374" i="11"/>
  <c r="E379" i="8"/>
  <c r="E128" i="10"/>
  <c r="C128" i="10"/>
  <c r="D128" i="10"/>
  <c r="D379" i="8"/>
  <c r="C378" i="8"/>
  <c r="B376" i="8"/>
  <c r="F376" i="8" l="1"/>
  <c r="B376" i="11"/>
  <c r="E375" i="11"/>
  <c r="C375" i="11"/>
  <c r="D375" i="11"/>
  <c r="E380" i="8"/>
  <c r="F128" i="11"/>
  <c r="B128" i="10"/>
  <c r="C379" i="8"/>
  <c r="D380" i="8"/>
  <c r="B377" i="8"/>
  <c r="F377" i="8" l="1"/>
  <c r="B377" i="11"/>
  <c r="D376" i="11"/>
  <c r="E376" i="11"/>
  <c r="C376" i="11"/>
  <c r="E381" i="8"/>
  <c r="D381" i="8"/>
  <c r="C380" i="8"/>
  <c r="B378" i="8"/>
  <c r="F378" i="8" l="1"/>
  <c r="B378" i="11"/>
  <c r="E377" i="11"/>
  <c r="C377" i="11"/>
  <c r="D377" i="11"/>
  <c r="E382" i="8"/>
  <c r="D129" i="10"/>
  <c r="C129" i="10"/>
  <c r="E129" i="10"/>
  <c r="C381" i="8"/>
  <c r="D382" i="8"/>
  <c r="B379" i="8"/>
  <c r="F379" i="8" l="1"/>
  <c r="B379" i="11" s="1"/>
  <c r="E378" i="11"/>
  <c r="D378" i="11"/>
  <c r="C378" i="11"/>
  <c r="E383" i="8"/>
  <c r="F129" i="11"/>
  <c r="B129" i="10"/>
  <c r="D383" i="8"/>
  <c r="C382" i="8"/>
  <c r="B380" i="8"/>
  <c r="F380" i="8" l="1"/>
  <c r="B380" i="11"/>
  <c r="C379" i="11"/>
  <c r="E379" i="11"/>
  <c r="D379" i="11"/>
  <c r="E384" i="8"/>
  <c r="C383" i="8"/>
  <c r="D384" i="8"/>
  <c r="B381" i="8"/>
  <c r="F381" i="8" l="1"/>
  <c r="B381" i="11"/>
  <c r="E380" i="11"/>
  <c r="D380" i="11"/>
  <c r="C380" i="11"/>
  <c r="E385" i="8"/>
  <c r="E130" i="10"/>
  <c r="C130" i="10"/>
  <c r="D130" i="10"/>
  <c r="D385" i="8"/>
  <c r="C384" i="8"/>
  <c r="B382" i="8"/>
  <c r="F382" i="8" l="1"/>
  <c r="B382" i="11"/>
  <c r="C381" i="11"/>
  <c r="D381" i="11"/>
  <c r="E381" i="11"/>
  <c r="E386" i="8"/>
  <c r="B130" i="10"/>
  <c r="F130" i="11"/>
  <c r="C385" i="8"/>
  <c r="D386" i="8"/>
  <c r="B383" i="8"/>
  <c r="F383" i="8" l="1"/>
  <c r="B383" i="11"/>
  <c r="E382" i="11"/>
  <c r="D382" i="11"/>
  <c r="C382" i="11"/>
  <c r="E387" i="8"/>
  <c r="D387" i="8"/>
  <c r="C386" i="8"/>
  <c r="B384" i="8"/>
  <c r="F384" i="8" l="1"/>
  <c r="B384" i="11"/>
  <c r="E383" i="11"/>
  <c r="D383" i="11"/>
  <c r="C383" i="11"/>
  <c r="E388" i="8"/>
  <c r="C131" i="10"/>
  <c r="E131" i="10"/>
  <c r="D131" i="10"/>
  <c r="C387" i="8"/>
  <c r="D388" i="8"/>
  <c r="B385" i="8"/>
  <c r="F385" i="8" l="1"/>
  <c r="B385" i="11"/>
  <c r="D384" i="11"/>
  <c r="C384" i="11"/>
  <c r="E384" i="11"/>
  <c r="E389" i="8"/>
  <c r="F131" i="11"/>
  <c r="B131" i="10"/>
  <c r="D389" i="8"/>
  <c r="C388" i="8"/>
  <c r="B386" i="8"/>
  <c r="F386" i="8" l="1"/>
  <c r="B386" i="11" s="1"/>
  <c r="E385" i="11"/>
  <c r="C385" i="11"/>
  <c r="D385" i="11"/>
  <c r="E390" i="8"/>
  <c r="C389" i="8"/>
  <c r="D390" i="8"/>
  <c r="B387" i="8"/>
  <c r="F387" i="8" l="1"/>
  <c r="B387" i="11" s="1"/>
  <c r="C386" i="11"/>
  <c r="E386" i="11"/>
  <c r="D386" i="11"/>
  <c r="E391" i="8"/>
  <c r="D132" i="10"/>
  <c r="C132" i="10"/>
  <c r="E132" i="10"/>
  <c r="C390" i="8"/>
  <c r="D391" i="8"/>
  <c r="B388" i="8"/>
  <c r="F388" i="8" l="1"/>
  <c r="B388" i="11"/>
  <c r="E387" i="11"/>
  <c r="D387" i="11"/>
  <c r="C387" i="11"/>
  <c r="E392" i="8"/>
  <c r="B132" i="10"/>
  <c r="F132" i="11"/>
  <c r="D392" i="8"/>
  <c r="C391" i="8"/>
  <c r="B389" i="8"/>
  <c r="F389" i="8" l="1"/>
  <c r="B389" i="11"/>
  <c r="E388" i="11"/>
  <c r="D388" i="11"/>
  <c r="C388" i="11"/>
  <c r="E393" i="8"/>
  <c r="C392" i="8"/>
  <c r="D393" i="8"/>
  <c r="B390" i="8"/>
  <c r="F390" i="8" l="1"/>
  <c r="B390" i="11"/>
  <c r="E389" i="11"/>
  <c r="C389" i="11"/>
  <c r="D389" i="11"/>
  <c r="E394" i="8"/>
  <c r="D133" i="10"/>
  <c r="C133" i="10"/>
  <c r="E133" i="10"/>
  <c r="D394" i="8"/>
  <c r="C393" i="8"/>
  <c r="B391" i="8"/>
  <c r="F391" i="8" l="1"/>
  <c r="B391" i="11"/>
  <c r="E390" i="11"/>
  <c r="C390" i="11"/>
  <c r="D390" i="11"/>
  <c r="E395" i="8"/>
  <c r="F133" i="11"/>
  <c r="B133" i="10"/>
  <c r="C394" i="8"/>
  <c r="D395" i="8"/>
  <c r="B392" i="8"/>
  <c r="F392" i="8" l="1"/>
  <c r="B392" i="11"/>
  <c r="E391" i="11"/>
  <c r="D391" i="11"/>
  <c r="C391" i="11"/>
  <c r="E396" i="8"/>
  <c r="D396" i="8"/>
  <c r="C395" i="8"/>
  <c r="B393" i="8"/>
  <c r="F393" i="8" l="1"/>
  <c r="B393" i="11" s="1"/>
  <c r="D392" i="11"/>
  <c r="C392" i="11"/>
  <c r="E392" i="11"/>
  <c r="E397" i="8"/>
  <c r="D134" i="10"/>
  <c r="C134" i="10"/>
  <c r="E134" i="10"/>
  <c r="C396" i="8"/>
  <c r="D397" i="8"/>
  <c r="B394" i="8"/>
  <c r="F394" i="8" l="1"/>
  <c r="B394" i="11" s="1"/>
  <c r="C393" i="11"/>
  <c r="E393" i="11"/>
  <c r="D393" i="11"/>
  <c r="E398" i="8"/>
  <c r="B134" i="10"/>
  <c r="F134" i="11"/>
  <c r="D398" i="8"/>
  <c r="C397" i="8"/>
  <c r="B395" i="8"/>
  <c r="F395" i="8" l="1"/>
  <c r="B395" i="11" s="1"/>
  <c r="E394" i="11"/>
  <c r="D394" i="11"/>
  <c r="C394" i="11"/>
  <c r="E399" i="8"/>
  <c r="C398" i="8"/>
  <c r="D399" i="8"/>
  <c r="B396" i="8"/>
  <c r="F396" i="8" l="1"/>
  <c r="B396" i="11" s="1"/>
  <c r="D395" i="11"/>
  <c r="E395" i="11"/>
  <c r="C395" i="11"/>
  <c r="E400" i="8"/>
  <c r="D135" i="10"/>
  <c r="C135" i="10"/>
  <c r="E135" i="10"/>
  <c r="D400" i="8"/>
  <c r="C399" i="8"/>
  <c r="B397" i="8"/>
  <c r="F397" i="8" l="1"/>
  <c r="B397" i="11"/>
  <c r="E396" i="11"/>
  <c r="D396" i="11"/>
  <c r="C396" i="11"/>
  <c r="E401" i="8"/>
  <c r="F135" i="11"/>
  <c r="B135" i="10"/>
  <c r="C400" i="8"/>
  <c r="D401" i="8"/>
  <c r="B398" i="8"/>
  <c r="F398" i="8" l="1"/>
  <c r="B398" i="11"/>
  <c r="E397" i="11"/>
  <c r="C397" i="11"/>
  <c r="D397" i="11"/>
  <c r="E402" i="8"/>
  <c r="D402" i="8"/>
  <c r="C401" i="8"/>
  <c r="B399" i="8"/>
  <c r="F399" i="8" l="1"/>
  <c r="B399" i="11"/>
  <c r="E398" i="11"/>
  <c r="D398" i="11"/>
  <c r="C398" i="11"/>
  <c r="E403" i="8"/>
  <c r="E136" i="10"/>
  <c r="D136" i="10"/>
  <c r="C136" i="10"/>
  <c r="C402" i="8"/>
  <c r="D403" i="8"/>
  <c r="B400" i="8"/>
  <c r="F400" i="8" l="1"/>
  <c r="B400" i="11" s="1"/>
  <c r="E399" i="11"/>
  <c r="C399" i="11"/>
  <c r="D399" i="11"/>
  <c r="E404" i="8"/>
  <c r="B136" i="10"/>
  <c r="F136" i="11"/>
  <c r="D404" i="8"/>
  <c r="C403" i="8"/>
  <c r="B401" i="8"/>
  <c r="F401" i="8" l="1"/>
  <c r="B401" i="11" s="1"/>
  <c r="E400" i="11"/>
  <c r="C400" i="11"/>
  <c r="D400" i="11"/>
  <c r="E405" i="8"/>
  <c r="C404" i="8"/>
  <c r="D405" i="8"/>
  <c r="B402" i="8"/>
  <c r="F402" i="8" l="1"/>
  <c r="B402" i="11"/>
  <c r="E401" i="11"/>
  <c r="C401" i="11"/>
  <c r="D401" i="11"/>
  <c r="E406" i="8"/>
  <c r="C137" i="10"/>
  <c r="E137" i="10"/>
  <c r="D137" i="10"/>
  <c r="D406" i="8"/>
  <c r="C405" i="8"/>
  <c r="B403" i="8"/>
  <c r="F403" i="8" l="1"/>
  <c r="B403" i="11"/>
  <c r="E402" i="11"/>
  <c r="D402" i="11"/>
  <c r="C402" i="11"/>
  <c r="E407" i="8"/>
  <c r="F137" i="11"/>
  <c r="B137" i="10"/>
  <c r="C406" i="8"/>
  <c r="D407" i="8"/>
  <c r="B404" i="8"/>
  <c r="F404" i="8" l="1"/>
  <c r="B404" i="11"/>
  <c r="E403" i="11"/>
  <c r="D403" i="11"/>
  <c r="C403" i="11"/>
  <c r="E408" i="8"/>
  <c r="C407" i="8"/>
  <c r="D408" i="8"/>
  <c r="B405" i="8"/>
  <c r="F405" i="8" l="1"/>
  <c r="B405" i="11"/>
  <c r="E404" i="11"/>
  <c r="C404" i="11"/>
  <c r="D404" i="11"/>
  <c r="E409" i="8"/>
  <c r="D138" i="10"/>
  <c r="C138" i="10"/>
  <c r="E138" i="10"/>
  <c r="D409" i="8"/>
  <c r="C408" i="8"/>
  <c r="B406" i="8"/>
  <c r="F406" i="8" l="1"/>
  <c r="B406" i="11" s="1"/>
  <c r="C405" i="11"/>
  <c r="D405" i="11"/>
  <c r="E405" i="11"/>
  <c r="E410" i="8"/>
  <c r="F138" i="11"/>
  <c r="B138" i="10"/>
  <c r="C409" i="8"/>
  <c r="D410" i="8"/>
  <c r="B407" i="8"/>
  <c r="F407" i="8" l="1"/>
  <c r="B407" i="11" s="1"/>
  <c r="E406" i="11"/>
  <c r="C406" i="11"/>
  <c r="D406" i="11"/>
  <c r="E411" i="8"/>
  <c r="D411" i="8"/>
  <c r="C410" i="8"/>
  <c r="B408" i="8"/>
  <c r="F408" i="8" l="1"/>
  <c r="B408" i="11" s="1"/>
  <c r="E407" i="11"/>
  <c r="C407" i="11"/>
  <c r="D407" i="11"/>
  <c r="E412" i="8"/>
  <c r="E139" i="10"/>
  <c r="D139" i="10"/>
  <c r="C139" i="10"/>
  <c r="C411" i="8"/>
  <c r="D412" i="8"/>
  <c r="B409" i="8"/>
  <c r="F409" i="8" l="1"/>
  <c r="B409" i="11"/>
  <c r="E408" i="11"/>
  <c r="D408" i="11"/>
  <c r="C408" i="11"/>
  <c r="E413" i="8"/>
  <c r="F139" i="11"/>
  <c r="B139" i="10"/>
  <c r="D413" i="8"/>
  <c r="C412" i="8"/>
  <c r="B410" i="8"/>
  <c r="F410" i="8" l="1"/>
  <c r="B410" i="11" s="1"/>
  <c r="C409" i="11"/>
  <c r="E409" i="11"/>
  <c r="D409" i="11"/>
  <c r="E414" i="8"/>
  <c r="D414" i="8"/>
  <c r="C413" i="8"/>
  <c r="B411" i="8"/>
  <c r="F411" i="8" l="1"/>
  <c r="B411" i="11" s="1"/>
  <c r="E410" i="11"/>
  <c r="C410" i="11"/>
  <c r="D410" i="11"/>
  <c r="E415" i="8"/>
  <c r="D140" i="10"/>
  <c r="C140" i="10"/>
  <c r="E140" i="10"/>
  <c r="C414" i="8"/>
  <c r="D415" i="8"/>
  <c r="B412" i="8"/>
  <c r="F412" i="8" l="1"/>
  <c r="B412" i="11" s="1"/>
  <c r="E411" i="11"/>
  <c r="C411" i="11"/>
  <c r="D411" i="11"/>
  <c r="E416" i="8"/>
  <c r="B140" i="10"/>
  <c r="F140" i="11"/>
  <c r="D416" i="8"/>
  <c r="C415" i="8"/>
  <c r="B413" i="8"/>
  <c r="F413" i="8" l="1"/>
  <c r="B413" i="11"/>
  <c r="E412" i="11"/>
  <c r="D412" i="11"/>
  <c r="C412" i="11"/>
  <c r="E417" i="8"/>
  <c r="C416" i="8"/>
  <c r="D417" i="8"/>
  <c r="B414" i="8"/>
  <c r="F414" i="8" l="1"/>
  <c r="B414" i="11"/>
  <c r="D413" i="11"/>
  <c r="C413" i="11"/>
  <c r="E413" i="11"/>
  <c r="E418" i="8"/>
  <c r="E141" i="10"/>
  <c r="D141" i="10"/>
  <c r="C141" i="10"/>
  <c r="D418" i="8"/>
  <c r="C417" i="8"/>
  <c r="B415" i="8"/>
  <c r="F415" i="8" l="1"/>
  <c r="B415" i="11" s="1"/>
  <c r="E414" i="11"/>
  <c r="D414" i="11"/>
  <c r="C414" i="11"/>
  <c r="E419" i="8"/>
  <c r="F141" i="11"/>
  <c r="B141" i="10"/>
  <c r="C418" i="8"/>
  <c r="D419" i="8"/>
  <c r="B416" i="8"/>
  <c r="F416" i="8" l="1"/>
  <c r="B416" i="11"/>
  <c r="C415" i="11"/>
  <c r="D415" i="11"/>
  <c r="E415" i="11"/>
  <c r="E420" i="8"/>
  <c r="D420" i="8"/>
  <c r="C419" i="8"/>
  <c r="B417" i="8"/>
  <c r="F417" i="8" l="1"/>
  <c r="B417" i="11" s="1"/>
  <c r="E416" i="11"/>
  <c r="C416" i="11"/>
  <c r="D416" i="11"/>
  <c r="E421" i="8"/>
  <c r="E142" i="10"/>
  <c r="D142" i="10"/>
  <c r="C142" i="10"/>
  <c r="D421" i="8"/>
  <c r="C420" i="8"/>
  <c r="B418" i="8"/>
  <c r="F418" i="8" l="1"/>
  <c r="B418" i="11"/>
  <c r="E417" i="11"/>
  <c r="C417" i="11"/>
  <c r="D417" i="11"/>
  <c r="E422" i="8"/>
  <c r="F142" i="11"/>
  <c r="B142" i="10"/>
  <c r="D422" i="8"/>
  <c r="C421" i="8"/>
  <c r="B419" i="8"/>
  <c r="F419" i="8" l="1"/>
  <c r="B419" i="11" s="1"/>
  <c r="D418" i="11"/>
  <c r="E418" i="11"/>
  <c r="C418" i="11"/>
  <c r="E423" i="8"/>
  <c r="C422" i="8"/>
  <c r="D423" i="8"/>
  <c r="B420" i="8"/>
  <c r="F420" i="8" l="1"/>
  <c r="B420" i="11" s="1"/>
  <c r="E419" i="11"/>
  <c r="D419" i="11"/>
  <c r="C419" i="11"/>
  <c r="E424" i="8"/>
  <c r="C143" i="10"/>
  <c r="E143" i="10"/>
  <c r="D143" i="10"/>
  <c r="D424" i="8"/>
  <c r="C423" i="8"/>
  <c r="B421" i="8"/>
  <c r="F421" i="8" l="1"/>
  <c r="B421" i="11"/>
  <c r="C420" i="11"/>
  <c r="D420" i="11"/>
  <c r="E420" i="11"/>
  <c r="E425" i="8"/>
  <c r="B143" i="10"/>
  <c r="F143" i="11"/>
  <c r="C424" i="8"/>
  <c r="D425" i="8"/>
  <c r="B422" i="8"/>
  <c r="F422" i="8" l="1"/>
  <c r="B422" i="11"/>
  <c r="D421" i="11"/>
  <c r="C421" i="11"/>
  <c r="E421" i="11"/>
  <c r="E426" i="8"/>
  <c r="C425" i="8"/>
  <c r="D426" i="8"/>
  <c r="B423" i="8"/>
  <c r="F423" i="8" l="1"/>
  <c r="B423" i="11"/>
  <c r="E422" i="11"/>
  <c r="D422" i="11"/>
  <c r="C422" i="11"/>
  <c r="E427" i="8"/>
  <c r="E144" i="10"/>
  <c r="C144" i="10"/>
  <c r="D144" i="10"/>
  <c r="D427" i="8"/>
  <c r="C426" i="8"/>
  <c r="B424" i="8"/>
  <c r="F424" i="8" l="1"/>
  <c r="B424" i="11"/>
  <c r="C423" i="11"/>
  <c r="E423" i="11"/>
  <c r="D423" i="11"/>
  <c r="E428" i="8"/>
  <c r="B144" i="10"/>
  <c r="F144" i="11"/>
  <c r="C427" i="8"/>
  <c r="D428" i="8"/>
  <c r="B425" i="8"/>
  <c r="F425" i="8" l="1"/>
  <c r="B425" i="11" s="1"/>
  <c r="E424" i="11"/>
  <c r="C424" i="11"/>
  <c r="D424" i="11"/>
  <c r="E429" i="8"/>
  <c r="D429" i="8"/>
  <c r="C428" i="8"/>
  <c r="B426" i="8"/>
  <c r="F426" i="8" l="1"/>
  <c r="B426" i="11" s="1"/>
  <c r="E425" i="11"/>
  <c r="C425" i="11"/>
  <c r="D425" i="11"/>
  <c r="E430" i="8"/>
  <c r="D145" i="10"/>
  <c r="E145" i="10"/>
  <c r="C145" i="10"/>
  <c r="C429" i="8"/>
  <c r="D430" i="8"/>
  <c r="B427" i="8"/>
  <c r="F427" i="8" l="1"/>
  <c r="B427" i="11"/>
  <c r="C426" i="11"/>
  <c r="D426" i="11"/>
  <c r="E426" i="11"/>
  <c r="E431" i="8"/>
  <c r="B145" i="10"/>
  <c r="F145" i="11"/>
  <c r="D431" i="8"/>
  <c r="C430" i="8"/>
  <c r="B428" i="8"/>
  <c r="F428" i="8" l="1"/>
  <c r="B428" i="11"/>
  <c r="E427" i="11"/>
  <c r="C427" i="11"/>
  <c r="D427" i="11"/>
  <c r="E432" i="8"/>
  <c r="C431" i="8"/>
  <c r="D432" i="8"/>
  <c r="B429" i="8"/>
  <c r="F429" i="8" l="1"/>
  <c r="B429" i="11" s="1"/>
  <c r="D428" i="11"/>
  <c r="C428" i="11"/>
  <c r="E428" i="11"/>
  <c r="E433" i="8"/>
  <c r="D146" i="10"/>
  <c r="C146" i="10"/>
  <c r="E146" i="10"/>
  <c r="C432" i="8"/>
  <c r="D433" i="8"/>
  <c r="B430" i="8"/>
  <c r="F430" i="8" l="1"/>
  <c r="B430" i="11" s="1"/>
  <c r="E429" i="11"/>
  <c r="C429" i="11"/>
  <c r="D429" i="11"/>
  <c r="E434" i="8"/>
  <c r="F146" i="11"/>
  <c r="B146" i="10"/>
  <c r="D434" i="8"/>
  <c r="C433" i="8"/>
  <c r="B431" i="8"/>
  <c r="F431" i="8" l="1"/>
  <c r="B431" i="11"/>
  <c r="C430" i="11"/>
  <c r="D430" i="11"/>
  <c r="E430" i="11"/>
  <c r="E435" i="8"/>
  <c r="C434" i="8"/>
  <c r="D435" i="8"/>
  <c r="B432" i="8"/>
  <c r="F432" i="8" l="1"/>
  <c r="B432" i="11" s="1"/>
  <c r="E431" i="11"/>
  <c r="D431" i="11"/>
  <c r="C431" i="11"/>
  <c r="E436" i="8"/>
  <c r="E147" i="10"/>
  <c r="C147" i="10"/>
  <c r="D147" i="10"/>
  <c r="D436" i="8"/>
  <c r="C435" i="8"/>
  <c r="B433" i="8"/>
  <c r="F433" i="8" l="1"/>
  <c r="B433" i="11"/>
  <c r="C432" i="11"/>
  <c r="E432" i="11"/>
  <c r="D432" i="11"/>
  <c r="E437" i="8"/>
  <c r="B147" i="10"/>
  <c r="F147" i="11"/>
  <c r="D437" i="8"/>
  <c r="C436" i="8"/>
  <c r="B434" i="8"/>
  <c r="F434" i="8" l="1"/>
  <c r="B434" i="11"/>
  <c r="E433" i="11"/>
  <c r="C433" i="11"/>
  <c r="D433" i="11"/>
  <c r="E438" i="8"/>
  <c r="C437" i="8"/>
  <c r="D438" i="8"/>
  <c r="B435" i="8"/>
  <c r="F435" i="8" l="1"/>
  <c r="B435" i="11" s="1"/>
  <c r="E434" i="11"/>
  <c r="C434" i="11"/>
  <c r="D434" i="11"/>
  <c r="E439" i="8"/>
  <c r="E148" i="10"/>
  <c r="D148" i="10"/>
  <c r="C148" i="10"/>
  <c r="C438" i="8"/>
  <c r="D439" i="8"/>
  <c r="B436" i="8"/>
  <c r="F436" i="8" l="1"/>
  <c r="B436" i="11"/>
  <c r="E435" i="11"/>
  <c r="C435" i="11"/>
  <c r="D435" i="11"/>
  <c r="E440" i="8"/>
  <c r="B148" i="10"/>
  <c r="F148" i="11"/>
  <c r="D440" i="8"/>
  <c r="C439" i="8"/>
  <c r="B437" i="8"/>
  <c r="F437" i="8" l="1"/>
  <c r="B437" i="11"/>
  <c r="D436" i="11"/>
  <c r="C436" i="11"/>
  <c r="E436" i="11"/>
  <c r="E441" i="8"/>
  <c r="C440" i="8"/>
  <c r="D441" i="8"/>
  <c r="B438" i="8"/>
  <c r="F438" i="8" l="1"/>
  <c r="B438" i="11"/>
  <c r="E437" i="11"/>
  <c r="C437" i="11"/>
  <c r="D437" i="11"/>
  <c r="E442" i="8"/>
  <c r="E149" i="10"/>
  <c r="C149" i="10"/>
  <c r="D149" i="10"/>
  <c r="D442" i="8"/>
  <c r="C441" i="8"/>
  <c r="B439" i="8"/>
  <c r="F439" i="8" l="1"/>
  <c r="B439" i="11" s="1"/>
  <c r="C438" i="11"/>
  <c r="D438" i="11"/>
  <c r="E438" i="11"/>
  <c r="E443" i="8"/>
  <c r="F149" i="11"/>
  <c r="B149" i="10"/>
  <c r="C442" i="8"/>
  <c r="D443" i="8"/>
  <c r="B440" i="8"/>
  <c r="F440" i="8" l="1"/>
  <c r="B440" i="11" s="1"/>
  <c r="C439" i="11"/>
  <c r="E439" i="11"/>
  <c r="D439" i="11"/>
  <c r="E444" i="8"/>
  <c r="D444" i="8"/>
  <c r="C443" i="8"/>
  <c r="B441" i="8"/>
  <c r="F441" i="8" l="1"/>
  <c r="B441" i="11"/>
  <c r="E440" i="11"/>
  <c r="C440" i="11"/>
  <c r="D440" i="11"/>
  <c r="E445" i="8"/>
  <c r="E150" i="10"/>
  <c r="C150" i="10"/>
  <c r="D150" i="10"/>
  <c r="C444" i="8"/>
  <c r="D445" i="8"/>
  <c r="B442" i="8"/>
  <c r="F442" i="8" l="1"/>
  <c r="B442" i="11"/>
  <c r="E441" i="11"/>
  <c r="C441" i="11"/>
  <c r="D441" i="11"/>
  <c r="E446" i="8"/>
  <c r="F150" i="11"/>
  <c r="B150" i="10"/>
  <c r="D446" i="8"/>
  <c r="C445" i="8"/>
  <c r="B443" i="8"/>
  <c r="F443" i="8" l="1"/>
  <c r="B443" i="11" s="1"/>
  <c r="D442" i="11"/>
  <c r="E442" i="11"/>
  <c r="C442" i="11"/>
  <c r="E447" i="8"/>
  <c r="D447" i="8"/>
  <c r="C446" i="8"/>
  <c r="B444" i="8"/>
  <c r="F444" i="8" l="1"/>
  <c r="B444" i="11" s="1"/>
  <c r="E443" i="11"/>
  <c r="D443" i="11"/>
  <c r="C443" i="11"/>
  <c r="E448" i="8"/>
  <c r="D151" i="10"/>
  <c r="E151" i="10"/>
  <c r="C151" i="10"/>
  <c r="D448" i="8"/>
  <c r="C447" i="8"/>
  <c r="B445" i="8"/>
  <c r="F445" i="8" l="1"/>
  <c r="B445" i="11"/>
  <c r="E444" i="11"/>
  <c r="D444" i="11"/>
  <c r="C444" i="11"/>
  <c r="E449" i="8"/>
  <c r="B151" i="10"/>
  <c r="F151" i="11"/>
  <c r="C448" i="8"/>
  <c r="D449" i="8"/>
  <c r="B446" i="8"/>
  <c r="F446" i="8" l="1"/>
  <c r="B446" i="11"/>
  <c r="C445" i="11"/>
  <c r="D445" i="11"/>
  <c r="E445" i="11"/>
  <c r="E450" i="8"/>
  <c r="D450" i="8"/>
  <c r="C449" i="8"/>
  <c r="B447" i="8"/>
  <c r="F447" i="8" l="1"/>
  <c r="B447" i="11" s="1"/>
  <c r="E446" i="11"/>
  <c r="D446" i="11"/>
  <c r="C446" i="11"/>
  <c r="E451" i="8"/>
  <c r="E152" i="10"/>
  <c r="D152" i="10"/>
  <c r="C152" i="10"/>
  <c r="C450" i="8"/>
  <c r="D451" i="8"/>
  <c r="B448" i="8"/>
  <c r="F448" i="8" l="1"/>
  <c r="B448" i="11" s="1"/>
  <c r="C447" i="11"/>
  <c r="D447" i="11"/>
  <c r="E447" i="11"/>
  <c r="E452" i="8"/>
  <c r="B152" i="10"/>
  <c r="F152" i="11"/>
  <c r="D452" i="8"/>
  <c r="C451" i="8"/>
  <c r="B449" i="8"/>
  <c r="F449" i="8" l="1"/>
  <c r="B449" i="11"/>
  <c r="D448" i="11"/>
  <c r="C448" i="11"/>
  <c r="E448" i="11"/>
  <c r="E453" i="8"/>
  <c r="C452" i="8"/>
  <c r="D453" i="8"/>
  <c r="B450" i="8"/>
  <c r="F450" i="8" l="1"/>
  <c r="B450" i="11" s="1"/>
  <c r="D449" i="11"/>
  <c r="E449" i="11"/>
  <c r="C449" i="11"/>
  <c r="E454" i="8"/>
  <c r="C153" i="10"/>
  <c r="E153" i="10"/>
  <c r="D153" i="10"/>
  <c r="C453" i="8"/>
  <c r="D454" i="8"/>
  <c r="B451" i="8"/>
  <c r="F451" i="8" l="1"/>
  <c r="B451" i="11"/>
  <c r="E450" i="11"/>
  <c r="C450" i="11"/>
  <c r="D450" i="11"/>
  <c r="E455" i="8"/>
  <c r="F153" i="11"/>
  <c r="B153" i="10"/>
  <c r="D455" i="8"/>
  <c r="C454" i="8"/>
  <c r="B452" i="8"/>
  <c r="F452" i="8" l="1"/>
  <c r="B452" i="11"/>
  <c r="E451" i="11"/>
  <c r="C451" i="11"/>
  <c r="D451" i="11"/>
  <c r="E456" i="8"/>
  <c r="C455" i="8"/>
  <c r="D456" i="8"/>
  <c r="B453" i="8"/>
  <c r="F453" i="8" l="1"/>
  <c r="B453" i="11" s="1"/>
  <c r="E452" i="11"/>
  <c r="D452" i="11"/>
  <c r="C452" i="11"/>
  <c r="E457" i="8"/>
  <c r="C154" i="10"/>
  <c r="D154" i="10"/>
  <c r="E154" i="10"/>
  <c r="D457" i="8"/>
  <c r="C456" i="8"/>
  <c r="B454" i="8"/>
  <c r="F454" i="8" l="1"/>
  <c r="B454" i="11"/>
  <c r="E453" i="11"/>
  <c r="C453" i="11"/>
  <c r="D453" i="11"/>
  <c r="E458" i="8"/>
  <c r="B154" i="10"/>
  <c r="F154" i="11"/>
  <c r="C457" i="8"/>
  <c r="D458" i="8"/>
  <c r="B455" i="8"/>
  <c r="F455" i="8" l="1"/>
  <c r="B455" i="11"/>
  <c r="E454" i="11"/>
  <c r="D454" i="11"/>
  <c r="C454" i="11"/>
  <c r="E459" i="8"/>
  <c r="C458" i="8"/>
  <c r="D459" i="8"/>
  <c r="B456" i="8"/>
  <c r="F456" i="8" l="1"/>
  <c r="B456" i="11" s="1"/>
  <c r="E455" i="11"/>
  <c r="C455" i="11"/>
  <c r="D455" i="11"/>
  <c r="E460" i="8"/>
  <c r="D155" i="10"/>
  <c r="E155" i="10"/>
  <c r="C155" i="10"/>
  <c r="D460" i="8"/>
  <c r="C459" i="8"/>
  <c r="B457" i="8"/>
  <c r="F457" i="8" l="1"/>
  <c r="B457" i="11"/>
  <c r="E456" i="11"/>
  <c r="D456" i="11"/>
  <c r="C456" i="11"/>
  <c r="E461" i="8"/>
  <c r="B155" i="10"/>
  <c r="F155" i="11"/>
  <c r="D461" i="8"/>
  <c r="C460" i="8"/>
  <c r="B458" i="8"/>
  <c r="F458" i="8" l="1"/>
  <c r="B458" i="11"/>
  <c r="D457" i="11"/>
  <c r="C457" i="11"/>
  <c r="E457" i="11"/>
  <c r="E462" i="8"/>
  <c r="D462" i="8"/>
  <c r="C461" i="8"/>
  <c r="B459" i="8"/>
  <c r="F459" i="8" l="1"/>
  <c r="B459" i="11" s="1"/>
  <c r="D458" i="11"/>
  <c r="C458" i="11"/>
  <c r="E458" i="11"/>
  <c r="E463" i="8"/>
  <c r="D156" i="10"/>
  <c r="E156" i="10"/>
  <c r="C156" i="10"/>
  <c r="C462" i="8"/>
  <c r="D463" i="8"/>
  <c r="B460" i="8"/>
  <c r="F460" i="8" l="1"/>
  <c r="B460" i="11"/>
  <c r="E459" i="11"/>
  <c r="D459" i="11"/>
  <c r="C459" i="11"/>
  <c r="E464" i="8"/>
  <c r="F156" i="11"/>
  <c r="B156" i="10"/>
  <c r="D464" i="8"/>
  <c r="C463" i="8"/>
  <c r="B461" i="8"/>
  <c r="F461" i="8" l="1"/>
  <c r="B461" i="11"/>
  <c r="E460" i="11"/>
  <c r="D460" i="11"/>
  <c r="C460" i="11"/>
  <c r="E465" i="8"/>
  <c r="C464" i="8"/>
  <c r="D465" i="8"/>
  <c r="B462" i="8"/>
  <c r="F462" i="8" l="1"/>
  <c r="B462" i="11" s="1"/>
  <c r="E461" i="11"/>
  <c r="C461" i="11"/>
  <c r="D461" i="11"/>
  <c r="E466" i="8"/>
  <c r="C157" i="10"/>
  <c r="E157" i="10"/>
  <c r="D157" i="10"/>
  <c r="D466" i="8"/>
  <c r="C465" i="8"/>
  <c r="B463" i="8"/>
  <c r="F463" i="8" l="1"/>
  <c r="B463" i="11" s="1"/>
  <c r="C462" i="11"/>
  <c r="E462" i="11"/>
  <c r="D462" i="11"/>
  <c r="E467" i="8"/>
  <c r="B157" i="10"/>
  <c r="F157" i="11"/>
  <c r="C466" i="8"/>
  <c r="D467" i="8"/>
  <c r="B464" i="8"/>
  <c r="F464" i="8" l="1"/>
  <c r="B464" i="11"/>
  <c r="C463" i="11"/>
  <c r="D463" i="11"/>
  <c r="E463" i="11"/>
  <c r="E468" i="8"/>
  <c r="D468" i="8"/>
  <c r="C467" i="8"/>
  <c r="B465" i="8"/>
  <c r="F465" i="8" l="1"/>
  <c r="B465" i="11"/>
  <c r="E464" i="11"/>
  <c r="C464" i="11"/>
  <c r="D464" i="11"/>
  <c r="E469" i="8"/>
  <c r="D158" i="10"/>
  <c r="C158" i="10"/>
  <c r="E158" i="10"/>
  <c r="C468" i="8"/>
  <c r="D469" i="8"/>
  <c r="B466" i="8"/>
  <c r="F466" i="8" l="1"/>
  <c r="B466" i="11"/>
  <c r="E465" i="11"/>
  <c r="D465" i="11"/>
  <c r="C465" i="11"/>
  <c r="E470" i="8"/>
  <c r="B158" i="10"/>
  <c r="F158" i="11"/>
  <c r="D470" i="8"/>
  <c r="C469" i="8"/>
  <c r="B467" i="8"/>
  <c r="F467" i="8" l="1"/>
  <c r="B467" i="11" s="1"/>
  <c r="C466" i="11"/>
  <c r="E466" i="11"/>
  <c r="D466" i="11"/>
  <c r="E471" i="8"/>
  <c r="C470" i="8"/>
  <c r="D471" i="8"/>
  <c r="B468" i="8"/>
  <c r="F468" i="8" l="1"/>
  <c r="B468" i="11"/>
  <c r="E467" i="11"/>
  <c r="C467" i="11"/>
  <c r="D467" i="11"/>
  <c r="E472" i="8"/>
  <c r="D159" i="10"/>
  <c r="E159" i="10"/>
  <c r="C159" i="10"/>
  <c r="C471" i="8"/>
  <c r="D472" i="8"/>
  <c r="B469" i="8"/>
  <c r="F469" i="8" l="1"/>
  <c r="B469" i="11"/>
  <c r="C468" i="11"/>
  <c r="E468" i="11"/>
  <c r="D468" i="11"/>
  <c r="E473" i="8"/>
  <c r="F159" i="11"/>
  <c r="B159" i="10"/>
  <c r="D473" i="8"/>
  <c r="C472" i="8"/>
  <c r="B470" i="8"/>
  <c r="F470" i="8" l="1"/>
  <c r="B470" i="11"/>
  <c r="E469" i="11"/>
  <c r="C469" i="11"/>
  <c r="D469" i="11"/>
  <c r="E474" i="8"/>
  <c r="C473" i="8"/>
  <c r="D474" i="8"/>
  <c r="B471" i="8"/>
  <c r="F471" i="8" l="1"/>
  <c r="B471" i="11" s="1"/>
  <c r="D470" i="11"/>
  <c r="E470" i="11"/>
  <c r="C470" i="11"/>
  <c r="E475" i="8"/>
  <c r="D160" i="10"/>
  <c r="C160" i="10"/>
  <c r="E160" i="10"/>
  <c r="D475" i="8"/>
  <c r="C474" i="8"/>
  <c r="B472" i="8"/>
  <c r="F472" i="8" l="1"/>
  <c r="B472" i="11" s="1"/>
  <c r="E471" i="11"/>
  <c r="C471" i="11"/>
  <c r="D471" i="11"/>
  <c r="E476" i="8"/>
  <c r="B160" i="10"/>
  <c r="F160" i="11"/>
  <c r="C475" i="8"/>
  <c r="D476" i="8"/>
  <c r="B473" i="8"/>
  <c r="F473" i="8" l="1"/>
  <c r="B473" i="11" s="1"/>
  <c r="E472" i="11"/>
  <c r="D472" i="11"/>
  <c r="C472" i="11"/>
  <c r="E477" i="8"/>
  <c r="D477" i="8"/>
  <c r="C476" i="8"/>
  <c r="B474" i="8"/>
  <c r="F474" i="8" l="1"/>
  <c r="B474" i="11"/>
  <c r="E473" i="11"/>
  <c r="C473" i="11"/>
  <c r="D473" i="11"/>
  <c r="E478" i="8"/>
  <c r="C161" i="10"/>
  <c r="D161" i="10"/>
  <c r="E161" i="10"/>
  <c r="C477" i="8"/>
  <c r="D478" i="8"/>
  <c r="B475" i="8"/>
  <c r="F475" i="8" l="1"/>
  <c r="B475" i="11"/>
  <c r="C474" i="11"/>
  <c r="D474" i="11"/>
  <c r="E474" i="11"/>
  <c r="E479" i="8"/>
  <c r="F161" i="11"/>
  <c r="B161" i="10"/>
  <c r="C478" i="8"/>
  <c r="D479" i="8"/>
  <c r="B476" i="8"/>
  <c r="F476" i="8" l="1"/>
  <c r="B476" i="11"/>
  <c r="C475" i="11"/>
  <c r="D475" i="11"/>
  <c r="E475" i="11"/>
  <c r="C479" i="8"/>
  <c r="B477" i="8"/>
  <c r="F477" i="8" l="1"/>
  <c r="B477" i="11"/>
  <c r="C476" i="11"/>
  <c r="E476" i="11"/>
  <c r="D476" i="11"/>
  <c r="C162" i="10"/>
  <c r="E162" i="10"/>
  <c r="D162" i="10"/>
  <c r="B478" i="8"/>
  <c r="F478" i="8" l="1"/>
  <c r="B478" i="11"/>
  <c r="E477" i="11"/>
  <c r="C477" i="11"/>
  <c r="D477" i="11"/>
  <c r="F162" i="11"/>
  <c r="B162" i="10"/>
  <c r="B479" i="8"/>
  <c r="F479" i="8" l="1"/>
  <c r="B479" i="11" s="1"/>
  <c r="E478" i="11"/>
  <c r="C478" i="11"/>
  <c r="D478" i="11"/>
  <c r="D163" i="10"/>
  <c r="E163" i="10"/>
  <c r="C163" i="10"/>
  <c r="D479" i="11" l="1"/>
  <c r="E479" i="11"/>
  <c r="C479" i="11"/>
  <c r="B163" i="10"/>
  <c r="F163" i="11"/>
  <c r="C164" i="10" l="1"/>
  <c r="E164" i="10"/>
  <c r="D164" i="10"/>
  <c r="B164" i="10" l="1"/>
  <c r="F164" i="11"/>
  <c r="E165" i="10" l="1"/>
  <c r="C165" i="10"/>
  <c r="D165" i="10"/>
  <c r="B165" i="10" l="1"/>
  <c r="F165" i="11"/>
  <c r="C166" i="10" l="1"/>
  <c r="E166" i="10"/>
  <c r="D166" i="10"/>
  <c r="F166" i="11" l="1"/>
  <c r="B166" i="10"/>
  <c r="C167" i="10" l="1"/>
  <c r="E167" i="10"/>
  <c r="D167" i="10"/>
  <c r="F167" i="11" l="1"/>
  <c r="B167" i="10"/>
  <c r="E168" i="10" l="1"/>
  <c r="D168" i="10"/>
  <c r="C168" i="10"/>
  <c r="B168" i="10" l="1"/>
  <c r="F168" i="11"/>
  <c r="D169" i="10" l="1"/>
  <c r="C169" i="10"/>
  <c r="E169" i="10"/>
  <c r="F169" i="11" l="1"/>
  <c r="B169" i="10"/>
  <c r="D170" i="10" l="1"/>
  <c r="E170" i="10"/>
  <c r="C170" i="10"/>
  <c r="B170" i="10" l="1"/>
  <c r="F170" i="11"/>
  <c r="C171" i="10" l="1"/>
  <c r="D171" i="10"/>
  <c r="E171" i="10"/>
  <c r="F171" i="11" l="1"/>
  <c r="B171" i="10"/>
  <c r="E172" i="10" l="1"/>
  <c r="C172" i="10"/>
  <c r="D172" i="10"/>
  <c r="F172" i="11" l="1"/>
  <c r="B172" i="10"/>
  <c r="C173" i="10" l="1"/>
  <c r="D173" i="10"/>
  <c r="E173" i="10"/>
  <c r="B173" i="10" l="1"/>
  <c r="F173" i="11"/>
  <c r="E174" i="10" l="1"/>
  <c r="C174" i="10"/>
  <c r="D174" i="10"/>
  <c r="F174" i="11" l="1"/>
  <c r="B174" i="10"/>
  <c r="C175" i="10" l="1"/>
  <c r="D175" i="10"/>
  <c r="E175" i="10"/>
  <c r="B175" i="10" l="1"/>
  <c r="F175" i="11"/>
  <c r="E176" i="10" l="1"/>
  <c r="D176" i="10"/>
  <c r="C176" i="10"/>
  <c r="F176" i="11" l="1"/>
  <c r="B176" i="10"/>
  <c r="E177" i="10" l="1"/>
  <c r="C177" i="10"/>
  <c r="D177" i="10"/>
  <c r="F177" i="11" l="1"/>
  <c r="B177" i="10"/>
  <c r="E178" i="10" l="1"/>
  <c r="D178" i="10"/>
  <c r="C178" i="10"/>
  <c r="F178" i="11" l="1"/>
  <c r="B178" i="10"/>
  <c r="E179" i="10" l="1"/>
  <c r="D179" i="10"/>
  <c r="C179" i="10"/>
  <c r="F179" i="11" l="1"/>
  <c r="B179" i="10"/>
  <c r="E180" i="10" l="1"/>
  <c r="C180" i="10"/>
  <c r="D180" i="10"/>
  <c r="F180" i="11" l="1"/>
  <c r="B180" i="10"/>
  <c r="E181" i="10" l="1"/>
  <c r="D181" i="10"/>
  <c r="C181" i="10"/>
  <c r="B181" i="10" l="1"/>
  <c r="F181" i="11"/>
  <c r="C182" i="10" l="1"/>
  <c r="D182" i="10"/>
  <c r="E182" i="10"/>
  <c r="F182" i="11" l="1"/>
  <c r="B182" i="10"/>
  <c r="D183" i="10" l="1"/>
  <c r="E183" i="10"/>
  <c r="C183" i="10"/>
  <c r="B183" i="10" l="1"/>
  <c r="F183" i="11"/>
  <c r="C184" i="10" l="1"/>
  <c r="E184" i="10"/>
  <c r="D184" i="10"/>
  <c r="B184" i="10" l="1"/>
  <c r="F184" i="11"/>
  <c r="D185" i="10" l="1"/>
  <c r="C185" i="10"/>
  <c r="E185" i="10"/>
  <c r="B185" i="10" l="1"/>
  <c r="F185" i="11"/>
  <c r="E186" i="10" l="1"/>
  <c r="C186" i="10"/>
  <c r="D186" i="10"/>
  <c r="B186" i="10" l="1"/>
  <c r="F186" i="11"/>
  <c r="D187" i="10" l="1"/>
  <c r="C187" i="10"/>
  <c r="E187" i="10"/>
  <c r="B187" i="10" l="1"/>
  <c r="F187" i="11"/>
  <c r="D188" i="10" l="1"/>
  <c r="C188" i="10"/>
  <c r="E188" i="10"/>
  <c r="B188" i="10" l="1"/>
  <c r="F188" i="11"/>
  <c r="E189" i="10" l="1"/>
  <c r="D189" i="10"/>
  <c r="C189" i="10"/>
  <c r="B189" i="10" l="1"/>
  <c r="F189" i="11"/>
  <c r="D190" i="10" l="1"/>
  <c r="C190" i="10"/>
  <c r="E190" i="10"/>
  <c r="F190" i="11" l="1"/>
  <c r="B190" i="10"/>
  <c r="D191" i="10" l="1"/>
  <c r="E191" i="10"/>
  <c r="C191" i="10"/>
  <c r="F191" i="11" l="1"/>
  <c r="B191" i="10"/>
  <c r="C192" i="10" l="1"/>
  <c r="E192" i="10"/>
  <c r="D192" i="10"/>
  <c r="F192" i="11" l="1"/>
  <c r="B192" i="10"/>
  <c r="E193" i="10" l="1"/>
  <c r="D193" i="10"/>
  <c r="C193" i="10"/>
  <c r="F193" i="11" l="1"/>
  <c r="B193" i="10"/>
  <c r="D194" i="10" l="1"/>
  <c r="C194" i="10"/>
  <c r="E194" i="10"/>
  <c r="F194" i="11" l="1"/>
  <c r="B194" i="10"/>
  <c r="E195" i="10" l="1"/>
  <c r="C195" i="10"/>
  <c r="D195" i="10"/>
  <c r="B195" i="10" l="1"/>
  <c r="F195" i="11"/>
  <c r="C196" i="10" l="1"/>
  <c r="E196" i="10"/>
  <c r="D196" i="10"/>
  <c r="B196" i="10" l="1"/>
  <c r="F196" i="11"/>
  <c r="D197" i="10" l="1"/>
  <c r="C197" i="10"/>
  <c r="E197" i="10"/>
  <c r="F197" i="11" l="1"/>
  <c r="B197" i="10"/>
  <c r="C198" i="10" l="1"/>
  <c r="D198" i="10"/>
  <c r="E198" i="10"/>
  <c r="B198" i="10" l="1"/>
  <c r="F198" i="11"/>
  <c r="E199" i="10" l="1"/>
  <c r="C199" i="10"/>
  <c r="D199" i="10"/>
  <c r="F199" i="11" l="1"/>
  <c r="B199" i="10"/>
  <c r="C200" i="10" l="1"/>
  <c r="E200" i="10"/>
  <c r="D200" i="10"/>
  <c r="B200" i="10" l="1"/>
  <c r="F200" i="11"/>
  <c r="C201" i="10" l="1"/>
  <c r="D201" i="10"/>
  <c r="E201" i="10"/>
  <c r="B201" i="10" l="1"/>
  <c r="F201" i="11"/>
  <c r="E202" i="10" l="1"/>
  <c r="C202" i="10"/>
  <c r="D202" i="10"/>
  <c r="F202" i="11" l="1"/>
  <c r="B202" i="10"/>
  <c r="E203" i="10" l="1"/>
  <c r="D203" i="10"/>
  <c r="C203" i="10"/>
  <c r="B203" i="10" l="1"/>
  <c r="F203" i="11"/>
  <c r="E204" i="10" l="1"/>
  <c r="C204" i="10"/>
  <c r="D204" i="10"/>
  <c r="B204" i="10" l="1"/>
  <c r="F204" i="11"/>
  <c r="C205" i="10" l="1"/>
  <c r="D205" i="10"/>
  <c r="E205" i="10"/>
  <c r="F205" i="11" l="1"/>
  <c r="B205" i="10"/>
  <c r="C206" i="10" l="1"/>
  <c r="E206" i="10"/>
  <c r="D206" i="10"/>
  <c r="F206" i="11" l="1"/>
  <c r="B206" i="10"/>
  <c r="C207" i="10" l="1"/>
  <c r="E207" i="10"/>
  <c r="D207" i="10"/>
  <c r="F207" i="11" l="1"/>
  <c r="B207" i="10"/>
  <c r="D208" i="10" l="1"/>
  <c r="E208" i="10"/>
  <c r="C208" i="10"/>
  <c r="B208" i="10" l="1"/>
  <c r="F208" i="11"/>
  <c r="D209" i="10" l="1"/>
  <c r="C209" i="10"/>
  <c r="E209" i="10"/>
  <c r="B209" i="10" l="1"/>
  <c r="F209" i="11"/>
  <c r="E210" i="10" l="1"/>
  <c r="D210" i="10"/>
  <c r="C210" i="10"/>
  <c r="F210" i="11" l="1"/>
  <c r="B210" i="10"/>
  <c r="E211" i="10" l="1"/>
  <c r="C211" i="10"/>
  <c r="D211" i="10"/>
  <c r="F211" i="11" l="1"/>
  <c r="B211" i="10"/>
  <c r="D212" i="10" l="1"/>
  <c r="E212" i="10"/>
  <c r="C212" i="10"/>
  <c r="F212" i="11" l="1"/>
  <c r="B212" i="10"/>
  <c r="D213" i="10" l="1"/>
  <c r="E213" i="10"/>
  <c r="C213" i="10"/>
  <c r="F213" i="11" l="1"/>
  <c r="B213" i="10"/>
  <c r="C214" i="10" l="1"/>
  <c r="E214" i="10"/>
  <c r="D214" i="10"/>
  <c r="F214" i="11" l="1"/>
  <c r="B214" i="10"/>
  <c r="D215" i="10" l="1"/>
  <c r="E215" i="10"/>
  <c r="C215" i="10"/>
  <c r="F215" i="11" l="1"/>
  <c r="B215" i="10"/>
  <c r="E216" i="10" l="1"/>
  <c r="D216" i="10"/>
  <c r="C216" i="10"/>
  <c r="B216" i="10" l="1"/>
  <c r="F216" i="11"/>
  <c r="E217" i="10" l="1"/>
  <c r="D217" i="10"/>
  <c r="C217" i="10"/>
  <c r="F217" i="11" l="1"/>
  <c r="B217" i="10"/>
  <c r="E218" i="10" l="1"/>
  <c r="D218" i="10"/>
  <c r="C218" i="10"/>
  <c r="B218" i="10" l="1"/>
  <c r="F218" i="11"/>
  <c r="E219" i="10" l="1"/>
  <c r="D219" i="10"/>
  <c r="C219" i="10"/>
  <c r="F219" i="11" l="1"/>
  <c r="B219" i="10"/>
  <c r="C220" i="10" l="1"/>
  <c r="D220" i="10"/>
  <c r="E220" i="10"/>
  <c r="F220" i="11" l="1"/>
  <c r="B220" i="10"/>
  <c r="C221" i="10" l="1"/>
  <c r="E221" i="10"/>
  <c r="D221" i="10"/>
  <c r="B221" i="10" l="1"/>
  <c r="F221" i="11"/>
  <c r="D222" i="10" l="1"/>
  <c r="E222" i="10"/>
  <c r="C222" i="10"/>
  <c r="B222" i="10" l="1"/>
  <c r="F222" i="11"/>
  <c r="E223" i="10" l="1"/>
  <c r="C223" i="10"/>
  <c r="D223" i="10"/>
  <c r="B223" i="10" l="1"/>
  <c r="F223" i="11"/>
  <c r="C224" i="10" l="1"/>
  <c r="D224" i="10"/>
  <c r="E224" i="10"/>
  <c r="F224" i="11" l="1"/>
  <c r="B224" i="10"/>
  <c r="C225" i="10" l="1"/>
  <c r="D225" i="10"/>
  <c r="E225" i="10"/>
  <c r="B225" i="10" l="1"/>
  <c r="F225" i="11"/>
  <c r="C226" i="10" l="1"/>
  <c r="E226" i="10"/>
  <c r="D226" i="10"/>
  <c r="B226" i="10" l="1"/>
  <c r="F226" i="11"/>
  <c r="C227" i="10" l="1"/>
  <c r="E227" i="10"/>
  <c r="D227" i="10"/>
  <c r="B227" i="10" l="1"/>
  <c r="F227" i="11"/>
  <c r="D228" i="10" l="1"/>
  <c r="E228" i="10"/>
  <c r="C228" i="10"/>
  <c r="B228" i="10" l="1"/>
  <c r="F228" i="11"/>
  <c r="C229" i="10" l="1"/>
  <c r="D229" i="10"/>
  <c r="E229" i="10"/>
  <c r="F229" i="11" l="1"/>
  <c r="B229" i="10"/>
  <c r="C230" i="10" l="1"/>
  <c r="D230" i="10"/>
  <c r="E230" i="10"/>
  <c r="B230" i="10" l="1"/>
  <c r="F230" i="11"/>
  <c r="C231" i="10" l="1"/>
  <c r="E231" i="10"/>
  <c r="D231" i="10"/>
  <c r="F231" i="11" l="1"/>
  <c r="B231" i="10"/>
  <c r="C232" i="10" l="1"/>
  <c r="E232" i="10"/>
  <c r="D232" i="10"/>
  <c r="F232" i="11" l="1"/>
  <c r="B232" i="10"/>
  <c r="C233" i="10" l="1"/>
  <c r="D233" i="10"/>
  <c r="E233" i="10"/>
  <c r="F233" i="11" l="1"/>
  <c r="B233" i="10"/>
  <c r="C234" i="10" l="1"/>
  <c r="D234" i="10"/>
  <c r="E234" i="10"/>
  <c r="F234" i="11" l="1"/>
  <c r="B234" i="10"/>
  <c r="C235" i="10" l="1"/>
  <c r="E235" i="10"/>
  <c r="D235" i="10"/>
  <c r="F235" i="11" l="1"/>
  <c r="B235" i="10"/>
  <c r="C236" i="10" l="1"/>
  <c r="E236" i="10"/>
  <c r="D236" i="10"/>
  <c r="F236" i="11" l="1"/>
  <c r="B236" i="10"/>
  <c r="C237" i="10" l="1"/>
  <c r="E237" i="10"/>
  <c r="D237" i="10"/>
  <c r="B237" i="10" l="1"/>
  <c r="F237" i="11"/>
  <c r="C238" i="10" l="1"/>
  <c r="D238" i="10"/>
  <c r="E238" i="10"/>
  <c r="F238" i="11" l="1"/>
  <c r="B238" i="10"/>
  <c r="E239" i="10" l="1"/>
  <c r="C239" i="10"/>
  <c r="D239" i="10"/>
  <c r="B239" i="10" l="1"/>
  <c r="F239" i="11"/>
  <c r="E240" i="10" l="1"/>
  <c r="D240" i="10"/>
  <c r="C240" i="10"/>
  <c r="F240" i="11" l="1"/>
  <c r="B240" i="10"/>
  <c r="C241" i="10" l="1"/>
  <c r="D241" i="10"/>
  <c r="E241" i="10"/>
  <c r="B241" i="10" l="1"/>
  <c r="F241" i="11"/>
  <c r="D242" i="10" l="1"/>
  <c r="C242" i="10"/>
  <c r="E242" i="10"/>
  <c r="F242" i="11" l="1"/>
  <c r="B242" i="10"/>
  <c r="D243" i="10" l="1"/>
  <c r="C243" i="10"/>
  <c r="E243" i="10"/>
  <c r="B243" i="10" l="1"/>
  <c r="F243" i="11"/>
  <c r="D244" i="10" l="1"/>
  <c r="E244" i="10"/>
  <c r="C244" i="10"/>
  <c r="B244" i="10" l="1"/>
  <c r="F244" i="11"/>
  <c r="E245" i="10" l="1"/>
  <c r="D245" i="10"/>
  <c r="C245" i="10"/>
  <c r="F245" i="11" l="1"/>
  <c r="B245" i="10"/>
  <c r="E246" i="10" l="1"/>
  <c r="D246" i="10"/>
  <c r="C246" i="10"/>
  <c r="B246" i="10" l="1"/>
  <c r="F246" i="11"/>
  <c r="D247" i="10" l="1"/>
  <c r="C247" i="10"/>
  <c r="E247" i="10"/>
  <c r="B247" i="10" l="1"/>
  <c r="F247" i="11"/>
  <c r="C248" i="10" l="1"/>
  <c r="E248" i="10"/>
  <c r="D248" i="10"/>
  <c r="F248" i="11" l="1"/>
  <c r="B248" i="10"/>
  <c r="D249" i="10" l="1"/>
  <c r="E249" i="10"/>
  <c r="C249" i="10"/>
  <c r="B249" i="10" l="1"/>
  <c r="F249" i="11"/>
  <c r="E250" i="10" l="1"/>
  <c r="D250" i="10"/>
  <c r="C250" i="10"/>
  <c r="F250" i="11" l="1"/>
  <c r="B250" i="10"/>
  <c r="E251" i="10" l="1"/>
  <c r="D251" i="10"/>
  <c r="C251" i="10"/>
  <c r="F251" i="11" l="1"/>
  <c r="B251" i="10"/>
  <c r="D252" i="10" l="1"/>
  <c r="C252" i="10"/>
  <c r="E252" i="10"/>
  <c r="B252" i="10" l="1"/>
  <c r="F252" i="11"/>
  <c r="E253" i="10" l="1"/>
  <c r="D253" i="10"/>
  <c r="C253" i="10"/>
  <c r="F253" i="11" l="1"/>
  <c r="B253" i="10"/>
  <c r="C254" i="10" l="1"/>
  <c r="D254" i="10"/>
  <c r="E254" i="10"/>
  <c r="F254" i="11" l="1"/>
  <c r="B254" i="10"/>
  <c r="C255" i="10" l="1"/>
  <c r="E255" i="10"/>
  <c r="D255" i="10"/>
  <c r="B255" i="10" l="1"/>
  <c r="F255" i="11"/>
  <c r="E256" i="10" l="1"/>
  <c r="C256" i="10"/>
  <c r="D256" i="10"/>
  <c r="F256" i="11" l="1"/>
  <c r="B256" i="10"/>
  <c r="C257" i="10" l="1"/>
  <c r="E257" i="10"/>
  <c r="D257" i="10"/>
  <c r="F257" i="11" l="1"/>
  <c r="B257" i="10"/>
  <c r="C258" i="10" l="1"/>
  <c r="E258" i="10"/>
  <c r="D258" i="10"/>
  <c r="F258" i="11" l="1"/>
  <c r="B258" i="10"/>
  <c r="D259" i="10" l="1"/>
  <c r="C259" i="10"/>
  <c r="E259" i="10"/>
  <c r="B259" i="10" l="1"/>
  <c r="F259" i="11"/>
  <c r="D260" i="10" l="1"/>
  <c r="C260" i="10"/>
  <c r="E260" i="10"/>
  <c r="F260" i="11" l="1"/>
  <c r="B260" i="10"/>
  <c r="C261" i="10" l="1"/>
  <c r="E261" i="10"/>
  <c r="D261" i="10"/>
  <c r="F261" i="11" l="1"/>
  <c r="B261" i="10"/>
  <c r="C262" i="10" l="1"/>
  <c r="E262" i="10"/>
  <c r="D262" i="10"/>
  <c r="B262" i="10" l="1"/>
  <c r="F262" i="11"/>
  <c r="E263" i="10" l="1"/>
  <c r="D263" i="10"/>
  <c r="C263" i="10"/>
  <c r="F263" i="11" l="1"/>
  <c r="B263" i="10"/>
  <c r="E264" i="10" l="1"/>
  <c r="D264" i="10"/>
  <c r="C264" i="10"/>
  <c r="B264" i="10" l="1"/>
  <c r="F264" i="11"/>
  <c r="C265" i="10" l="1"/>
  <c r="D265" i="10"/>
  <c r="E265" i="10"/>
  <c r="B265" i="10" l="1"/>
  <c r="F265" i="11"/>
  <c r="E266" i="10" l="1"/>
  <c r="D266" i="10"/>
  <c r="C266" i="10"/>
  <c r="B266" i="10" l="1"/>
  <c r="F266" i="11"/>
  <c r="C267" i="10" l="1"/>
  <c r="D267" i="10"/>
  <c r="E267" i="10"/>
  <c r="F267" i="11" l="1"/>
  <c r="B267" i="10"/>
  <c r="C268" i="10" l="1"/>
  <c r="E268" i="10"/>
  <c r="D268" i="10"/>
  <c r="B268" i="10" l="1"/>
  <c r="F268" i="11"/>
  <c r="C269" i="10" l="1"/>
  <c r="D269" i="10"/>
  <c r="E269" i="10"/>
  <c r="F269" i="11" l="1"/>
  <c r="B269" i="10"/>
  <c r="C270" i="10" l="1"/>
  <c r="E270" i="10"/>
  <c r="D270" i="10"/>
  <c r="F270" i="11" l="1"/>
  <c r="B270" i="10"/>
  <c r="E271" i="10" l="1"/>
  <c r="C271" i="10"/>
  <c r="D271" i="10"/>
  <c r="B271" i="10" l="1"/>
  <c r="F271" i="11"/>
  <c r="C272" i="10" l="1"/>
  <c r="E272" i="10"/>
  <c r="D272" i="10"/>
  <c r="F272" i="11" l="1"/>
  <c r="B272" i="10"/>
  <c r="D273" i="10" l="1"/>
  <c r="C273" i="10"/>
  <c r="E273" i="10"/>
  <c r="F273" i="11" l="1"/>
  <c r="B273" i="10"/>
  <c r="C274" i="10" l="1"/>
  <c r="E274" i="10"/>
  <c r="D274" i="10"/>
  <c r="F274" i="11" l="1"/>
  <c r="B274" i="10"/>
  <c r="C275" i="10" l="1"/>
  <c r="D275" i="10"/>
  <c r="E275" i="10"/>
  <c r="B275" i="10" l="1"/>
  <c r="F275" i="11"/>
  <c r="E276" i="10" l="1"/>
  <c r="C276" i="10"/>
  <c r="D276" i="10"/>
  <c r="F276" i="11" l="1"/>
  <c r="B276" i="10"/>
  <c r="C277" i="10" l="1"/>
  <c r="D277" i="10"/>
  <c r="E277" i="10"/>
  <c r="F277" i="11" l="1"/>
  <c r="B277" i="10"/>
  <c r="C278" i="10" l="1"/>
  <c r="D278" i="10"/>
  <c r="E278" i="10"/>
  <c r="F278" i="11" l="1"/>
  <c r="B278" i="10"/>
  <c r="D279" i="10" l="1"/>
  <c r="C279" i="10"/>
  <c r="E279" i="10"/>
  <c r="F279" i="11" l="1"/>
  <c r="B279" i="10"/>
  <c r="C280" i="10" l="1"/>
  <c r="E280" i="10"/>
  <c r="D280" i="10"/>
  <c r="F280" i="11" l="1"/>
  <c r="B280" i="10"/>
  <c r="E281" i="10" l="1"/>
  <c r="C281" i="10"/>
  <c r="D281" i="10"/>
  <c r="F281" i="11" l="1"/>
  <c r="B281" i="10"/>
  <c r="D282" i="10" l="1"/>
  <c r="C282" i="10"/>
  <c r="E282" i="10"/>
  <c r="F282" i="11" l="1"/>
  <c r="B282" i="10"/>
  <c r="C283" i="10" l="1"/>
  <c r="D283" i="10"/>
  <c r="E283" i="10"/>
  <c r="B283" i="10" l="1"/>
  <c r="F283" i="11"/>
  <c r="E284" i="10" l="1"/>
  <c r="D284" i="10"/>
  <c r="C284" i="10"/>
  <c r="B284" i="10" l="1"/>
  <c r="F284" i="11"/>
  <c r="E285" i="10" l="1"/>
  <c r="C285" i="10"/>
  <c r="D285" i="10"/>
  <c r="F285" i="11" l="1"/>
  <c r="B285" i="10"/>
  <c r="D286" i="10" l="1"/>
  <c r="C286" i="10"/>
  <c r="E286" i="10"/>
  <c r="B286" i="10" l="1"/>
  <c r="F286" i="11"/>
  <c r="E287" i="10" l="1"/>
  <c r="D287" i="10"/>
  <c r="C287" i="10"/>
  <c r="B287" i="10" l="1"/>
  <c r="F287" i="11"/>
  <c r="E288" i="10" l="1"/>
  <c r="D288" i="10"/>
  <c r="C288" i="10"/>
  <c r="B288" i="10" l="1"/>
  <c r="F288" i="11"/>
  <c r="D289" i="10" l="1"/>
  <c r="E289" i="10"/>
  <c r="C289" i="10"/>
  <c r="F289" i="11" l="1"/>
  <c r="B289" i="10"/>
  <c r="E290" i="10" l="1"/>
  <c r="C290" i="10"/>
  <c r="D290" i="10"/>
  <c r="F290" i="11" l="1"/>
  <c r="B290" i="10"/>
  <c r="D291" i="10" l="1"/>
  <c r="C291" i="10"/>
  <c r="E291" i="10"/>
  <c r="B291" i="10" l="1"/>
  <c r="F291" i="11"/>
  <c r="C292" i="10" l="1"/>
  <c r="D292" i="10"/>
  <c r="E292" i="10"/>
  <c r="B292" i="10" l="1"/>
  <c r="F292" i="11"/>
  <c r="D293" i="10" l="1"/>
  <c r="C293" i="10"/>
  <c r="E293" i="10"/>
  <c r="B293" i="10" l="1"/>
  <c r="F293" i="11"/>
  <c r="D294" i="10" l="1"/>
  <c r="C294" i="10"/>
  <c r="E294" i="10"/>
  <c r="B294" i="10" l="1"/>
  <c r="F294" i="11"/>
  <c r="C295" i="10" l="1"/>
  <c r="E295" i="10"/>
  <c r="D295" i="10"/>
  <c r="B295" i="10" l="1"/>
  <c r="F295" i="11"/>
  <c r="E296" i="10" l="1"/>
  <c r="C296" i="10"/>
  <c r="D296" i="10"/>
  <c r="B296" i="10" l="1"/>
  <c r="F296" i="11"/>
  <c r="E297" i="10" l="1"/>
  <c r="D297" i="10"/>
  <c r="C297" i="10"/>
  <c r="F297" i="11" l="1"/>
  <c r="B297" i="10"/>
  <c r="C298" i="10" l="1"/>
  <c r="D298" i="10"/>
  <c r="E298" i="10"/>
  <c r="F298" i="11" l="1"/>
  <c r="B298" i="10"/>
  <c r="D299" i="10" l="1"/>
  <c r="E299" i="10"/>
  <c r="C299" i="10"/>
  <c r="B299" i="10" l="1"/>
  <c r="F299" i="11"/>
  <c r="C300" i="10" l="1"/>
  <c r="D300" i="10"/>
  <c r="E300" i="10"/>
  <c r="F300" i="11" l="1"/>
  <c r="B300" i="10"/>
  <c r="C301" i="10" l="1"/>
  <c r="D301" i="10"/>
  <c r="E301" i="10"/>
  <c r="B301" i="10" l="1"/>
  <c r="F301" i="11"/>
  <c r="D302" i="10" l="1"/>
  <c r="C302" i="10"/>
  <c r="E302" i="10"/>
  <c r="B302" i="10" l="1"/>
  <c r="F302" i="11"/>
  <c r="D303" i="10" l="1"/>
  <c r="C303" i="10"/>
  <c r="E303" i="10"/>
  <c r="F303" i="11" l="1"/>
  <c r="B303" i="10"/>
  <c r="D304" i="10" l="1"/>
  <c r="C304" i="10"/>
  <c r="E304" i="10"/>
  <c r="B304" i="10" l="1"/>
  <c r="F304" i="11"/>
  <c r="E305" i="10" l="1"/>
  <c r="D305" i="10"/>
  <c r="C305" i="10"/>
  <c r="B305" i="10" l="1"/>
  <c r="F305" i="11"/>
  <c r="C306" i="10" l="1"/>
  <c r="D306" i="10"/>
  <c r="E306" i="10"/>
  <c r="B306" i="10" l="1"/>
  <c r="F306" i="11"/>
  <c r="D307" i="10" l="1"/>
  <c r="C307" i="10"/>
  <c r="E307" i="10"/>
  <c r="B307" i="10" l="1"/>
  <c r="F307" i="11"/>
  <c r="D308" i="10" l="1"/>
  <c r="C308" i="10"/>
  <c r="E308" i="10"/>
  <c r="F308" i="11" l="1"/>
  <c r="B308" i="10"/>
  <c r="D309" i="10" l="1"/>
  <c r="C309" i="10"/>
  <c r="E309" i="10"/>
  <c r="B309" i="10" l="1"/>
  <c r="F309" i="11"/>
  <c r="C310" i="10" l="1"/>
  <c r="E310" i="10"/>
  <c r="D310" i="10"/>
  <c r="B310" i="10" l="1"/>
  <c r="F310" i="11"/>
  <c r="D311" i="10" l="1"/>
  <c r="E311" i="10"/>
  <c r="C311" i="10"/>
  <c r="F311" i="11" l="1"/>
  <c r="B311" i="10"/>
  <c r="C312" i="10" l="1"/>
  <c r="E312" i="10"/>
  <c r="D312" i="10"/>
  <c r="F312" i="11" l="1"/>
  <c r="B312" i="10"/>
  <c r="C313" i="10" l="1"/>
  <c r="E313" i="10"/>
  <c r="D313" i="10"/>
  <c r="B313" i="10" l="1"/>
  <c r="F313" i="11"/>
  <c r="D314" i="10" l="1"/>
  <c r="E314" i="10"/>
  <c r="C314" i="10"/>
  <c r="B314" i="10" l="1"/>
  <c r="F314" i="11"/>
  <c r="C315" i="10" l="1"/>
  <c r="E315" i="10"/>
  <c r="D315" i="10"/>
  <c r="B315" i="10" l="1"/>
  <c r="F315" i="11"/>
  <c r="E316" i="10" l="1"/>
  <c r="D316" i="10"/>
  <c r="C316" i="10"/>
  <c r="B316" i="10" l="1"/>
  <c r="F316" i="11"/>
  <c r="D317" i="10" l="1"/>
  <c r="C317" i="10"/>
  <c r="E317" i="10"/>
  <c r="F317" i="11" l="1"/>
  <c r="B317" i="10"/>
  <c r="E318" i="10" l="1"/>
  <c r="C318" i="10"/>
  <c r="D318" i="10"/>
  <c r="F318" i="11" l="1"/>
  <c r="B318" i="10"/>
  <c r="E319" i="10" l="1"/>
  <c r="D319" i="10"/>
  <c r="C319" i="10"/>
  <c r="F319" i="11" l="1"/>
  <c r="B319" i="10"/>
  <c r="D320" i="10" l="1"/>
  <c r="E320" i="10"/>
  <c r="C320" i="10"/>
  <c r="B320" i="10" l="1"/>
  <c r="F320" i="11"/>
  <c r="E321" i="10" l="1"/>
  <c r="D321" i="10"/>
  <c r="C321" i="10"/>
  <c r="B321" i="10" l="1"/>
  <c r="F321" i="11"/>
  <c r="D322" i="10" l="1"/>
  <c r="C322" i="10"/>
  <c r="E322" i="10"/>
  <c r="F322" i="11" l="1"/>
  <c r="B322" i="10"/>
  <c r="D323" i="10" l="1"/>
  <c r="E323" i="10"/>
  <c r="C323" i="10"/>
  <c r="F323" i="11" l="1"/>
  <c r="B323" i="10"/>
  <c r="D324" i="10" l="1"/>
  <c r="E324" i="10"/>
  <c r="C324" i="10"/>
  <c r="F324" i="11" l="1"/>
  <c r="B324" i="10"/>
  <c r="C325" i="10" l="1"/>
  <c r="E325" i="10"/>
  <c r="D325" i="10"/>
  <c r="F325" i="11" l="1"/>
  <c r="B325" i="10"/>
  <c r="C326" i="10" l="1"/>
  <c r="D326" i="10"/>
  <c r="E326" i="10"/>
  <c r="B326" i="10" l="1"/>
  <c r="F326" i="11"/>
  <c r="D327" i="10" l="1"/>
  <c r="C327" i="10"/>
  <c r="E327" i="10"/>
  <c r="B327" i="10" l="1"/>
  <c r="F327" i="11"/>
  <c r="E328" i="10" l="1"/>
  <c r="D328" i="10"/>
  <c r="C328" i="10"/>
  <c r="F328" i="11" l="1"/>
  <c r="B328" i="10"/>
  <c r="E329" i="10" l="1"/>
  <c r="C329" i="10"/>
  <c r="D329" i="10"/>
  <c r="B329" i="10" l="1"/>
  <c r="F329" i="11"/>
  <c r="C330" i="10" l="1"/>
  <c r="D330" i="10"/>
  <c r="E330" i="10"/>
  <c r="B330" i="10" l="1"/>
  <c r="F330" i="11"/>
  <c r="E331" i="10" l="1"/>
  <c r="C331" i="10"/>
  <c r="D331" i="10"/>
  <c r="B331" i="10" l="1"/>
  <c r="F331" i="11"/>
  <c r="C332" i="10" l="1"/>
  <c r="E332" i="10"/>
  <c r="D332" i="10"/>
  <c r="F332" i="11" l="1"/>
  <c r="B332" i="10"/>
  <c r="E333" i="10" l="1"/>
  <c r="D333" i="10"/>
  <c r="C333" i="10"/>
  <c r="F333" i="11" l="1"/>
  <c r="B333" i="10"/>
  <c r="E334" i="10" l="1"/>
  <c r="D334" i="10"/>
  <c r="C334" i="10"/>
  <c r="F334" i="11" l="1"/>
  <c r="B334" i="10"/>
  <c r="D335" i="10" l="1"/>
  <c r="E335" i="10"/>
  <c r="C335" i="10"/>
  <c r="B335" i="10" l="1"/>
  <c r="F335" i="11"/>
  <c r="C336" i="10" l="1"/>
  <c r="E336" i="10"/>
  <c r="D336" i="10"/>
  <c r="B336" i="10" l="1"/>
  <c r="F336" i="11"/>
  <c r="D337" i="10" l="1"/>
  <c r="E337" i="10"/>
  <c r="C337" i="10"/>
  <c r="F337" i="11" l="1"/>
  <c r="B337" i="10"/>
  <c r="E338" i="10" l="1"/>
  <c r="D338" i="10"/>
  <c r="C338" i="10"/>
  <c r="F338" i="11" l="1"/>
  <c r="B338" i="10"/>
  <c r="E339" i="10" l="1"/>
  <c r="D339" i="10"/>
  <c r="C339" i="10"/>
  <c r="F339" i="11" l="1"/>
  <c r="B339" i="10"/>
  <c r="D340" i="10" l="1"/>
  <c r="E340" i="10"/>
  <c r="C340" i="10"/>
  <c r="B340" i="10" l="1"/>
  <c r="F340" i="11"/>
  <c r="C341" i="10" l="1"/>
  <c r="E341" i="10"/>
  <c r="D341" i="10"/>
  <c r="F341" i="11" l="1"/>
  <c r="B341" i="10"/>
  <c r="C342" i="10" l="1"/>
  <c r="D342" i="10"/>
  <c r="E342" i="10"/>
  <c r="B342" i="10" l="1"/>
  <c r="F342" i="11"/>
  <c r="D343" i="10" l="1"/>
  <c r="C343" i="10"/>
  <c r="E343" i="10"/>
  <c r="F343" i="11" l="1"/>
  <c r="B343" i="10"/>
  <c r="C344" i="10" l="1"/>
  <c r="E344" i="10"/>
  <c r="D344" i="10"/>
  <c r="F344" i="11" l="1"/>
  <c r="B344" i="10"/>
  <c r="E345" i="10" l="1"/>
  <c r="D345" i="10"/>
  <c r="C345" i="10"/>
  <c r="F345" i="11" l="1"/>
  <c r="B345" i="10"/>
  <c r="D346" i="10" l="1"/>
  <c r="E346" i="10"/>
  <c r="C346" i="10"/>
  <c r="B346" i="10" l="1"/>
  <c r="F346" i="11"/>
  <c r="C347" i="10" l="1"/>
  <c r="E347" i="10"/>
  <c r="D347" i="10"/>
  <c r="B347" i="10" l="1"/>
  <c r="F347" i="11"/>
  <c r="E348" i="10" l="1"/>
  <c r="C348" i="10"/>
  <c r="D348" i="10"/>
  <c r="F348" i="11" l="1"/>
  <c r="B348" i="10"/>
  <c r="E349" i="10" l="1"/>
  <c r="D349" i="10"/>
  <c r="C349" i="10"/>
  <c r="B349" i="10" l="1"/>
  <c r="F349" i="11"/>
  <c r="C350" i="10" l="1"/>
  <c r="D350" i="10"/>
  <c r="E350" i="10"/>
  <c r="B350" i="10" l="1"/>
  <c r="F350" i="11"/>
  <c r="C351" i="10" l="1"/>
  <c r="E351" i="10"/>
  <c r="D351" i="10"/>
  <c r="F351" i="11" l="1"/>
  <c r="B351" i="10"/>
  <c r="E352" i="10" l="1"/>
  <c r="D352" i="10"/>
  <c r="C352" i="10"/>
  <c r="F352" i="11" l="1"/>
  <c r="B352" i="10"/>
  <c r="D353" i="10" l="1"/>
  <c r="C353" i="10"/>
  <c r="E353" i="10"/>
  <c r="B353" i="10" l="1"/>
  <c r="F353" i="11"/>
  <c r="E354" i="10" l="1"/>
  <c r="D354" i="10"/>
  <c r="C354" i="10"/>
  <c r="B354" i="10" l="1"/>
  <c r="F354" i="11"/>
  <c r="E355" i="10" l="1"/>
  <c r="C355" i="10"/>
  <c r="D355" i="10"/>
  <c r="F355" i="11" l="1"/>
  <c r="B355" i="10"/>
  <c r="E356" i="10" l="1"/>
  <c r="C356" i="10"/>
  <c r="D356" i="10"/>
  <c r="F356" i="11" l="1"/>
  <c r="B356" i="10"/>
  <c r="E357" i="10" l="1"/>
  <c r="D357" i="10"/>
  <c r="C357" i="10"/>
  <c r="B357" i="10" l="1"/>
  <c r="F357" i="11"/>
  <c r="E358" i="10" l="1"/>
  <c r="D358" i="10"/>
  <c r="C358" i="10"/>
  <c r="B358" i="10" l="1"/>
  <c r="F358" i="11"/>
  <c r="C359" i="10" l="1"/>
  <c r="E359" i="10"/>
  <c r="D359" i="10"/>
  <c r="B359" i="10" l="1"/>
  <c r="F359" i="11"/>
  <c r="D360" i="10" l="1"/>
  <c r="E360" i="10"/>
  <c r="C360" i="10"/>
  <c r="B360" i="10" l="1"/>
  <c r="F360" i="11"/>
  <c r="E361" i="10" l="1"/>
  <c r="D361" i="10"/>
  <c r="C361" i="10"/>
  <c r="B361" i="10" l="1"/>
  <c r="F361" i="11"/>
  <c r="C362" i="10" l="1"/>
  <c r="E362" i="10"/>
  <c r="D362" i="10"/>
  <c r="F362" i="11" l="1"/>
  <c r="B362" i="10"/>
  <c r="D363" i="10" l="1"/>
  <c r="C363" i="10"/>
  <c r="E363" i="10"/>
  <c r="F363" i="11" l="1"/>
  <c r="B363" i="10"/>
  <c r="C364" i="10" l="1"/>
  <c r="E364" i="10"/>
  <c r="D364" i="10"/>
  <c r="B364" i="10" l="1"/>
  <c r="F364" i="11"/>
  <c r="C365" i="10" l="1"/>
  <c r="D365" i="10"/>
  <c r="E365" i="10"/>
  <c r="F365" i="11" l="1"/>
  <c r="B365" i="10"/>
  <c r="E366" i="10" l="1"/>
  <c r="C366" i="10"/>
  <c r="D366" i="10"/>
  <c r="B366" i="10" l="1"/>
  <c r="F366" i="11"/>
  <c r="C367" i="10" l="1"/>
  <c r="D367" i="10"/>
  <c r="E367" i="10"/>
  <c r="F367" i="11" l="1"/>
  <c r="B367" i="10"/>
  <c r="C368" i="10" l="1"/>
  <c r="D368" i="10"/>
  <c r="E368" i="10"/>
  <c r="B368" i="10" l="1"/>
  <c r="F368" i="11"/>
  <c r="D369" i="10" l="1"/>
  <c r="C369" i="10"/>
  <c r="E369" i="10"/>
  <c r="F369" i="11" l="1"/>
  <c r="B369" i="10"/>
  <c r="E370" i="10" l="1"/>
  <c r="C370" i="10"/>
  <c r="D370" i="10"/>
  <c r="B370" i="10" l="1"/>
  <c r="F370" i="11"/>
  <c r="D371" i="10" l="1"/>
  <c r="C371" i="10"/>
  <c r="E371" i="10"/>
  <c r="F371" i="11" l="1"/>
  <c r="B371" i="10"/>
  <c r="E372" i="10" l="1"/>
  <c r="C372" i="10"/>
  <c r="D372" i="10"/>
  <c r="B372" i="10" l="1"/>
  <c r="F372" i="11"/>
  <c r="C373" i="10" l="1"/>
  <c r="D373" i="10"/>
  <c r="E373" i="10"/>
  <c r="B373" i="10" l="1"/>
  <c r="F373" i="11"/>
  <c r="C374" i="10" l="1"/>
  <c r="E374" i="10"/>
  <c r="D374" i="10"/>
  <c r="F374" i="11" l="1"/>
  <c r="B374" i="10"/>
  <c r="E375" i="10" l="1"/>
  <c r="D375" i="10"/>
  <c r="C375" i="10"/>
  <c r="B375" i="10" l="1"/>
  <c r="F375" i="11"/>
  <c r="D376" i="10" l="1"/>
  <c r="C376" i="10"/>
  <c r="E376" i="10"/>
  <c r="F376" i="11" l="1"/>
  <c r="B376" i="10"/>
  <c r="D377" i="10" l="1"/>
  <c r="C377" i="10"/>
  <c r="E377" i="10"/>
  <c r="F377" i="11" l="1"/>
  <c r="B377" i="10"/>
  <c r="C378" i="10" l="1"/>
  <c r="E378" i="10"/>
  <c r="D378" i="10"/>
  <c r="F378" i="11" l="1"/>
  <c r="B378" i="10"/>
  <c r="E379" i="10" l="1"/>
  <c r="D379" i="10"/>
  <c r="C379" i="10"/>
  <c r="F379" i="11" l="1"/>
  <c r="B379" i="10"/>
  <c r="E380" i="10" l="1"/>
  <c r="D380" i="10"/>
  <c r="C380" i="10"/>
  <c r="B380" i="10" l="1"/>
  <c r="F380" i="11"/>
  <c r="E381" i="10" l="1"/>
  <c r="C381" i="10"/>
  <c r="D381" i="10"/>
  <c r="F381" i="11" l="1"/>
  <c r="B381" i="10"/>
  <c r="E382" i="10" l="1"/>
  <c r="D382" i="10"/>
  <c r="C382" i="10"/>
  <c r="B382" i="10" l="1"/>
  <c r="F382" i="11"/>
  <c r="D383" i="10" l="1"/>
  <c r="E383" i="10"/>
  <c r="C383" i="10"/>
  <c r="F383" i="11" l="1"/>
  <c r="B383" i="10"/>
  <c r="E384" i="10" l="1"/>
  <c r="D384" i="10"/>
  <c r="C384" i="10"/>
  <c r="F384" i="11" l="1"/>
  <c r="B384" i="10"/>
  <c r="C385" i="10" l="1"/>
  <c r="E385" i="10"/>
  <c r="D385" i="10"/>
  <c r="F385" i="11" l="1"/>
  <c r="B385" i="10"/>
  <c r="C386" i="10" l="1"/>
  <c r="D386" i="10"/>
  <c r="E386" i="10"/>
  <c r="B386" i="10" l="1"/>
  <c r="F386" i="11"/>
  <c r="D387" i="10" l="1"/>
  <c r="E387" i="10"/>
  <c r="C387" i="10"/>
  <c r="F387" i="11" l="1"/>
  <c r="B387" i="10"/>
  <c r="E388" i="10" l="1"/>
  <c r="C388" i="10"/>
  <c r="D388" i="10"/>
  <c r="B388" i="10" l="1"/>
  <c r="F388" i="11"/>
  <c r="D389" i="10" l="1"/>
  <c r="E389" i="10"/>
  <c r="C389" i="10"/>
  <c r="B389" i="10" l="1"/>
  <c r="F389" i="11"/>
  <c r="D390" i="10" l="1"/>
  <c r="E390" i="10"/>
  <c r="C390" i="10"/>
  <c r="F390" i="11" l="1"/>
  <c r="B390" i="10"/>
  <c r="C391" i="10" l="1"/>
  <c r="D391" i="10"/>
  <c r="E391" i="10"/>
  <c r="F391" i="11" l="1"/>
  <c r="B391" i="10"/>
  <c r="D392" i="10" l="1"/>
  <c r="E392" i="10"/>
  <c r="C392" i="10"/>
  <c r="F392" i="11" l="1"/>
  <c r="B392" i="10"/>
  <c r="C393" i="10" l="1"/>
  <c r="E393" i="10"/>
  <c r="D393" i="10"/>
  <c r="F393" i="11" l="1"/>
  <c r="B393" i="10"/>
  <c r="D394" i="10" l="1"/>
  <c r="C394" i="10"/>
  <c r="E394" i="10"/>
  <c r="B394" i="10" l="1"/>
  <c r="F394" i="11"/>
  <c r="E395" i="10" l="1"/>
  <c r="C395" i="10"/>
  <c r="D395" i="10"/>
  <c r="B395" i="10" l="1"/>
  <c r="F395" i="11"/>
  <c r="D396" i="10" l="1"/>
  <c r="C396" i="10"/>
  <c r="E396" i="10"/>
  <c r="F396" i="11" l="1"/>
  <c r="B396" i="10"/>
  <c r="E397" i="10" l="1"/>
  <c r="C397" i="10"/>
  <c r="D397" i="10"/>
  <c r="B397" i="10" l="1"/>
  <c r="F397" i="11"/>
  <c r="E398" i="10" l="1"/>
  <c r="D398" i="10"/>
  <c r="C398" i="10"/>
  <c r="B398" i="10" l="1"/>
  <c r="F398" i="11"/>
  <c r="C399" i="10" l="1"/>
  <c r="D399" i="10"/>
  <c r="E399" i="10"/>
  <c r="F399" i="11" l="1"/>
  <c r="B399" i="10"/>
  <c r="D400" i="10" l="1"/>
  <c r="E400" i="10"/>
  <c r="C400" i="10"/>
  <c r="B400" i="10" l="1"/>
  <c r="F400" i="11"/>
  <c r="D401" i="10" l="1"/>
  <c r="E401" i="10"/>
  <c r="C401" i="10"/>
  <c r="F401" i="11" l="1"/>
  <c r="B401" i="10"/>
  <c r="C402" i="10" l="1"/>
  <c r="D402" i="10"/>
  <c r="E402" i="10"/>
  <c r="B402" i="10" l="1"/>
  <c r="F402" i="11"/>
  <c r="C403" i="10" l="1"/>
  <c r="E403" i="10"/>
  <c r="D403" i="10"/>
  <c r="F403" i="11" l="1"/>
  <c r="B403" i="10"/>
  <c r="C404" i="10" l="1"/>
  <c r="D404" i="10"/>
  <c r="E404" i="10"/>
  <c r="B404" i="10" l="1"/>
  <c r="F404" i="11"/>
  <c r="D405" i="10" l="1"/>
  <c r="C405" i="10"/>
  <c r="E405" i="10"/>
  <c r="F405" i="11" l="1"/>
  <c r="B405" i="10"/>
  <c r="D406" i="10" l="1"/>
  <c r="C406" i="10"/>
  <c r="E406" i="10"/>
  <c r="F406" i="11" l="1"/>
  <c r="B406" i="10"/>
  <c r="E407" i="10" l="1"/>
  <c r="D407" i="10"/>
  <c r="C407" i="10"/>
  <c r="F407" i="11" l="1"/>
  <c r="B407" i="10"/>
  <c r="D408" i="10" l="1"/>
  <c r="C408" i="10"/>
  <c r="E408" i="10"/>
  <c r="F408" i="11" l="1"/>
  <c r="B408" i="10"/>
  <c r="E409" i="10" l="1"/>
  <c r="C409" i="10"/>
  <c r="D409" i="10"/>
  <c r="B409" i="10" l="1"/>
  <c r="F409" i="11"/>
  <c r="E410" i="10" l="1"/>
  <c r="C410" i="10"/>
  <c r="D410" i="10"/>
  <c r="B410" i="10" l="1"/>
  <c r="F410" i="11"/>
  <c r="E411" i="10" l="1"/>
  <c r="D411" i="10"/>
  <c r="C411" i="10"/>
  <c r="B411" i="10" l="1"/>
  <c r="F411" i="11"/>
  <c r="E412" i="10" l="1"/>
  <c r="D412" i="10"/>
  <c r="C412" i="10"/>
  <c r="B412" i="10" l="1"/>
  <c r="F412" i="11"/>
  <c r="D413" i="10" l="1"/>
  <c r="C413" i="10"/>
  <c r="E413" i="10"/>
  <c r="F413" i="11" l="1"/>
  <c r="B413" i="10"/>
  <c r="E414" i="10" l="1"/>
  <c r="C414" i="10"/>
  <c r="D414" i="10"/>
  <c r="B414" i="10" l="1"/>
  <c r="F414" i="11"/>
  <c r="D415" i="10" l="1"/>
  <c r="C415" i="10"/>
  <c r="E415" i="10"/>
  <c r="B415" i="10" l="1"/>
  <c r="F415" i="11"/>
  <c r="C416" i="10" l="1"/>
  <c r="E416" i="10"/>
  <c r="D416" i="10"/>
  <c r="B416" i="10" l="1"/>
  <c r="F416" i="11"/>
  <c r="C417" i="10" l="1"/>
  <c r="D417" i="10"/>
  <c r="E417" i="10"/>
  <c r="B417" i="10" l="1"/>
  <c r="F417" i="11"/>
  <c r="C418" i="10" l="1"/>
  <c r="E418" i="10"/>
  <c r="D418" i="10"/>
  <c r="F418" i="11" l="1"/>
  <c r="B418" i="10"/>
  <c r="E419" i="10" l="1"/>
  <c r="D419" i="10"/>
  <c r="C419" i="10"/>
  <c r="B419" i="10" l="1"/>
  <c r="F419" i="11"/>
  <c r="E420" i="10" l="1"/>
  <c r="D420" i="10"/>
  <c r="C420" i="10"/>
  <c r="B420" i="10" l="1"/>
  <c r="F420" i="11"/>
  <c r="D421" i="10" l="1"/>
  <c r="C421" i="10"/>
  <c r="E421" i="10"/>
  <c r="F421" i="11" l="1"/>
  <c r="B421" i="10"/>
  <c r="D422" i="10" l="1"/>
  <c r="C422" i="10"/>
  <c r="E422" i="10"/>
  <c r="B422" i="10" l="1"/>
  <c r="F422" i="11"/>
  <c r="E423" i="10" l="1"/>
  <c r="D423" i="10"/>
  <c r="C423" i="10"/>
  <c r="F423" i="11" l="1"/>
  <c r="B423" i="10"/>
  <c r="E424" i="10" l="1"/>
  <c r="D424" i="10"/>
  <c r="C424" i="10"/>
  <c r="F424" i="11" l="1"/>
  <c r="B424" i="10"/>
  <c r="D425" i="10" l="1"/>
  <c r="C425" i="10"/>
  <c r="E425" i="10"/>
  <c r="F425" i="11" l="1"/>
  <c r="B425" i="10"/>
  <c r="E426" i="10" l="1"/>
  <c r="D426" i="10"/>
  <c r="C426" i="10"/>
  <c r="B426" i="10" l="1"/>
  <c r="F426" i="11"/>
  <c r="C427" i="10" l="1"/>
  <c r="D427" i="10"/>
  <c r="E427" i="10"/>
  <c r="B427" i="10" l="1"/>
  <c r="F427" i="11"/>
  <c r="E428" i="10" l="1"/>
  <c r="C428" i="10"/>
  <c r="D428" i="10"/>
  <c r="F428" i="11" l="1"/>
  <c r="B428" i="10"/>
  <c r="C429" i="10" l="1"/>
  <c r="E429" i="10"/>
  <c r="D429" i="10"/>
  <c r="F429" i="11" l="1"/>
  <c r="B429" i="10"/>
  <c r="C430" i="10" l="1"/>
  <c r="E430" i="10"/>
  <c r="D430" i="10"/>
  <c r="F430" i="11" l="1"/>
  <c r="B430" i="10"/>
  <c r="E431" i="10" l="1"/>
  <c r="C431" i="10"/>
  <c r="D431" i="10"/>
  <c r="B431" i="10" l="1"/>
  <c r="F431" i="11"/>
  <c r="D432" i="10" l="1"/>
  <c r="E432" i="10"/>
  <c r="C432" i="10"/>
  <c r="F432" i="11" l="1"/>
  <c r="B432" i="10"/>
  <c r="C433" i="10" l="1"/>
  <c r="D433" i="10"/>
  <c r="E433" i="10"/>
  <c r="B433" i="10" l="1"/>
  <c r="F433" i="11"/>
  <c r="D434" i="10" l="1"/>
  <c r="C434" i="10"/>
  <c r="E434" i="10"/>
  <c r="B434" i="10" l="1"/>
  <c r="F434" i="11"/>
  <c r="D435" i="10" l="1"/>
  <c r="E435" i="10"/>
  <c r="C435" i="10"/>
  <c r="B435" i="10" l="1"/>
  <c r="F435" i="11"/>
  <c r="C436" i="10" l="1"/>
  <c r="E436" i="10"/>
  <c r="D436" i="10"/>
  <c r="B436" i="10" l="1"/>
  <c r="F436" i="11"/>
  <c r="D437" i="10" l="1"/>
  <c r="C437" i="10"/>
  <c r="E437" i="10"/>
  <c r="F437" i="11" l="1"/>
  <c r="B437" i="10"/>
  <c r="D438" i="10" l="1"/>
  <c r="C438" i="10"/>
  <c r="E438" i="10"/>
  <c r="B438" i="10" l="1"/>
  <c r="F438" i="11"/>
  <c r="E439" i="10" l="1"/>
  <c r="C439" i="10"/>
  <c r="D439" i="10"/>
  <c r="F439" i="11" l="1"/>
  <c r="B439" i="10"/>
  <c r="D440" i="10" l="1"/>
  <c r="E440" i="10"/>
  <c r="C440" i="10"/>
  <c r="F440" i="11" l="1"/>
  <c r="B440" i="10"/>
  <c r="C441" i="10" l="1"/>
  <c r="D441" i="10"/>
  <c r="E441" i="10"/>
  <c r="F441" i="11" l="1"/>
  <c r="B441" i="10"/>
  <c r="D442" i="10" l="1"/>
  <c r="C442" i="10"/>
  <c r="E442" i="10"/>
  <c r="B442" i="10" l="1"/>
  <c r="F442" i="11"/>
  <c r="E443" i="10" l="1"/>
  <c r="D443" i="10"/>
  <c r="C443" i="10"/>
  <c r="F443" i="11" l="1"/>
  <c r="B443" i="10"/>
  <c r="C444" i="10" l="1"/>
  <c r="E444" i="10"/>
  <c r="D444" i="10"/>
  <c r="B444" i="10" l="1"/>
  <c r="F444" i="11"/>
  <c r="E445" i="10" l="1"/>
  <c r="C445" i="10"/>
  <c r="D445" i="10"/>
  <c r="F445" i="11" l="1"/>
  <c r="B445" i="10"/>
  <c r="D446" i="10" l="1"/>
  <c r="C446" i="10"/>
  <c r="E446" i="10"/>
  <c r="F446" i="11" l="1"/>
  <c r="B446" i="10"/>
  <c r="E447" i="10" l="1"/>
  <c r="C447" i="10"/>
  <c r="D447" i="10"/>
  <c r="B447" i="10" l="1"/>
  <c r="F447" i="11"/>
  <c r="D448" i="10" l="1"/>
  <c r="C448" i="10"/>
  <c r="E448" i="10"/>
  <c r="F448" i="11" l="1"/>
  <c r="B448" i="10"/>
  <c r="E449" i="10" l="1"/>
  <c r="D449" i="10"/>
  <c r="C449" i="10"/>
  <c r="B449" i="10" l="1"/>
  <c r="F449" i="11"/>
  <c r="D450" i="10" l="1"/>
  <c r="E450" i="10"/>
  <c r="C450" i="10"/>
  <c r="B450" i="10" l="1"/>
  <c r="F450" i="11"/>
  <c r="E451" i="10" l="1"/>
  <c r="D451" i="10"/>
  <c r="C451" i="10"/>
  <c r="F451" i="11" l="1"/>
  <c r="B451" i="10"/>
  <c r="D452" i="10" l="1"/>
  <c r="E452" i="10"/>
  <c r="C452" i="10"/>
  <c r="F452" i="11" l="1"/>
  <c r="B452" i="10"/>
  <c r="C453" i="10" l="1"/>
  <c r="D453" i="10"/>
  <c r="E453" i="10"/>
  <c r="B453" i="10" l="1"/>
  <c r="F453" i="11"/>
  <c r="E454" i="10" l="1"/>
  <c r="D454" i="10"/>
  <c r="C454" i="10"/>
  <c r="B454" i="10" l="1"/>
  <c r="F454" i="11"/>
  <c r="C455" i="10" l="1"/>
  <c r="E455" i="10"/>
  <c r="D455" i="10"/>
  <c r="F455" i="11" l="1"/>
  <c r="B455" i="10"/>
  <c r="C456" i="10" l="1"/>
  <c r="D456" i="10"/>
  <c r="E456" i="10"/>
  <c r="F456" i="11" l="1"/>
  <c r="B456" i="10"/>
  <c r="E457" i="10" l="1"/>
  <c r="D457" i="10"/>
  <c r="C457" i="10"/>
  <c r="F457" i="11" l="1"/>
  <c r="B457" i="10"/>
  <c r="E458" i="10" l="1"/>
  <c r="C458" i="10"/>
  <c r="D458" i="10"/>
  <c r="F458" i="11" l="1"/>
  <c r="B458" i="10"/>
  <c r="C459" i="10" l="1"/>
  <c r="D459" i="10"/>
  <c r="E459" i="10"/>
  <c r="F459" i="11" l="1"/>
  <c r="B459" i="10"/>
  <c r="E460" i="10" l="1"/>
  <c r="C460" i="10"/>
  <c r="D460" i="10"/>
  <c r="F460" i="11" l="1"/>
  <c r="B460" i="10"/>
  <c r="C461" i="10" l="1"/>
  <c r="E461" i="10"/>
  <c r="D461" i="10"/>
  <c r="F461" i="11" l="1"/>
  <c r="B461" i="10"/>
  <c r="C462" i="10" l="1"/>
  <c r="E462" i="10"/>
  <c r="D462" i="10"/>
  <c r="B462" i="10" l="1"/>
  <c r="F462" i="11"/>
  <c r="E463" i="10" l="1"/>
  <c r="C463" i="10"/>
  <c r="D463" i="10"/>
  <c r="F463" i="11" l="1"/>
  <c r="B463" i="10"/>
  <c r="D464" i="10" l="1"/>
  <c r="C464" i="10"/>
  <c r="E464" i="10"/>
  <c r="F464" i="11" l="1"/>
  <c r="B464" i="10"/>
  <c r="E465" i="10" l="1"/>
  <c r="D465" i="10"/>
  <c r="C465" i="10"/>
  <c r="B465" i="10" l="1"/>
  <c r="F465" i="11"/>
  <c r="C466" i="10" l="1"/>
  <c r="D466" i="10"/>
  <c r="E466" i="10"/>
  <c r="B466" i="10" l="1"/>
  <c r="F466" i="11"/>
  <c r="D467" i="10" l="1"/>
  <c r="E467" i="10"/>
  <c r="C467" i="10"/>
  <c r="B467" i="10" l="1"/>
  <c r="F467" i="11"/>
  <c r="C468" i="10" l="1"/>
  <c r="E468" i="10"/>
  <c r="D468" i="10"/>
  <c r="B468" i="10" l="1"/>
  <c r="F468" i="11"/>
  <c r="E469" i="10" l="1"/>
  <c r="D469" i="10"/>
  <c r="C469" i="10"/>
  <c r="F469" i="11" l="1"/>
  <c r="B469" i="10"/>
  <c r="D470" i="10" l="1"/>
  <c r="C470" i="10"/>
  <c r="E470" i="10"/>
  <c r="F470" i="11" l="1"/>
  <c r="B470" i="10"/>
  <c r="D471" i="10" l="1"/>
  <c r="C471" i="10"/>
  <c r="E471" i="10"/>
  <c r="F471" i="11" l="1"/>
  <c r="B471" i="10"/>
  <c r="C472" i="10" l="1"/>
  <c r="D472" i="10"/>
  <c r="E472" i="10"/>
  <c r="F472" i="11" l="1"/>
  <c r="B472" i="10"/>
  <c r="C473" i="10" l="1"/>
  <c r="D473" i="10"/>
  <c r="E473" i="10"/>
  <c r="F473" i="11" l="1"/>
  <c r="B473" i="10"/>
  <c r="E474" i="10" l="1"/>
  <c r="D474" i="10"/>
  <c r="C474" i="10"/>
  <c r="F474" i="11" l="1"/>
  <c r="B474" i="10"/>
  <c r="C475" i="10" l="1"/>
  <c r="E475" i="10"/>
  <c r="D475" i="10"/>
  <c r="B475" i="10" l="1"/>
  <c r="F475" i="11"/>
  <c r="C476" i="10" l="1"/>
  <c r="D476" i="10"/>
  <c r="E476" i="10"/>
  <c r="F476" i="11" l="1"/>
  <c r="B476" i="10"/>
  <c r="E477" i="10" l="1"/>
  <c r="D477" i="10"/>
  <c r="C477" i="10"/>
  <c r="F477" i="11" l="1"/>
  <c r="B477" i="10"/>
  <c r="D478" i="10" l="1"/>
  <c r="E478" i="10"/>
  <c r="C478" i="10"/>
  <c r="F478" i="11" l="1"/>
  <c r="B478" i="10"/>
  <c r="C479" i="10" l="1"/>
  <c r="E479" i="10"/>
  <c r="D479" i="10"/>
  <c r="B479" i="10" l="1"/>
  <c r="F479" i="11"/>
</calcChain>
</file>

<file path=xl/sharedStrings.xml><?xml version="1.0" encoding="utf-8"?>
<sst xmlns="http://schemas.openxmlformats.org/spreadsheetml/2006/main" count="4521" uniqueCount="502">
  <si>
    <t>date</t>
  </si>
  <si>
    <t>price_index</t>
  </si>
  <si>
    <t>total_return_index</t>
  </si>
  <si>
    <t>price_daily_return</t>
  </si>
  <si>
    <t>tr_daily_return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</si>
  <si>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</si>
  <si>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</si>
  <si>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</si>
  <si>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</si>
  <si>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</si>
  <si>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</si>
  <si>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</si>
  <si>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</si>
  <si>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</si>
  <si>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</si>
  <si>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</si>
  <si>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</si>
  <si>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</si>
  <si>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</si>
  <si>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</si>
  <si>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</si>
  <si>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</si>
  <si>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</si>
  <si>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</si>
  <si>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</si>
  <si>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</si>
  <si>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</si>
  <si>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</si>
  <si>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</si>
  <si>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</si>
  <si>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</si>
  <si>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</si>
  <si>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</si>
  <si>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</si>
  <si>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</si>
  <si>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</si>
  <si>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</si>
  <si>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</si>
  <si>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</si>
  <si>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</si>
  <si>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</si>
  <si>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</si>
  <si>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</si>
  <si>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</si>
  <si>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</si>
  <si>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</si>
  <si>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</si>
  <si>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</si>
  <si>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</si>
  <si>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</si>
  <si>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</si>
  <si>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</si>
  <si>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</si>
  <si>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</si>
  <si>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</si>
  <si>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</si>
  <si>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</si>
  <si>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</si>
  <si>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</si>
  <si>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</si>
  <si>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</si>
  <si>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</si>
  <si>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</si>
  <si>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</si>
  <si>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</si>
  <si>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</si>
  <si>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</si>
  <si>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</si>
  <si>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</si>
  <si>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</si>
  <si>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</si>
  <si>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</si>
  <si>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</si>
  <si>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</si>
  <si>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</si>
  <si>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</si>
  <si>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</si>
  <si>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</si>
  <si>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</si>
  <si>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</si>
  <si>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</si>
  <si>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</si>
  <si>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</si>
  <si>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</si>
  <si>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</si>
  <si>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</si>
  <si>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</si>
  <si>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</si>
  <si>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</si>
  <si>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</si>
  <si>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</si>
  <si>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</si>
  <si>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</si>
  <si>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</si>
  <si>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</si>
  <si>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</si>
  <si>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</si>
  <si>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</si>
  <si>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</si>
  <si>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</si>
  <si>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</si>
  <si>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</si>
  <si>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</si>
  <si>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</si>
  <si>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</si>
  <si>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</si>
  <si>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</si>
  <si>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</si>
  <si>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</si>
  <si>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</si>
  <si>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</si>
  <si>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</si>
  <si>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</si>
  <si>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</si>
  <si>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</si>
  <si>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</si>
  <si>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</si>
  <si>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</si>
  <si>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</si>
  <si>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</si>
  <si>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</si>
  <si>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</si>
  <si>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</si>
  <si>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</si>
  <si>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</si>
  <si>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</si>
  <si>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</si>
  <si>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</si>
  <si>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</si>
  <si>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</si>
  <si>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</si>
  <si>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</si>
  <si>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</si>
  <si>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</si>
  <si>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</si>
  <si>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</si>
  <si>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</si>
  <si>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</si>
  <si>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</si>
  <si>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</si>
  <si>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</si>
  <si>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</si>
  <si>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</si>
  <si>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</si>
  <si>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</si>
  <si>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</si>
  <si>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</si>
  <si>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</si>
  <si>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</si>
  <si>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</si>
  <si>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</si>
  <si>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</si>
  <si>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</si>
  <si>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</si>
  <si>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</si>
  <si>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</si>
  <si>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</si>
  <si>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</si>
  <si>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</si>
  <si>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</si>
  <si>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</si>
  <si>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</si>
  <si>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</si>
  <si>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</si>
  <si>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</si>
  <si>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</si>
  <si>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</si>
  <si>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</si>
  <si>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</si>
  <si>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</si>
  <si>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</si>
  <si>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</si>
  <si>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</si>
  <si>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</si>
  <si>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</si>
  <si>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</si>
  <si>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</si>
  <si>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</si>
  <si>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</si>
  <si>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</si>
  <si>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</si>
  <si>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</si>
  <si>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</si>
  <si>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</si>
  <si>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</si>
  <si>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</si>
  <si>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</si>
  <si>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</si>
  <si>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</si>
  <si>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</si>
  <si>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</si>
  <si>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</si>
  <si>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</si>
  <si>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</si>
  <si>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</si>
  <si>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</si>
  <si>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</si>
  <si>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</si>
  <si>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</si>
  <si>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</si>
  <si>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</si>
  <si>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</si>
  <si>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</si>
  <si>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</si>
  <si>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</si>
  <si>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</si>
  <si>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</si>
  <si>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</si>
  <si>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</si>
  <si>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</si>
  <si>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</si>
  <si>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</si>
  <si>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</si>
  <si>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</si>
  <si>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</si>
  <si>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</si>
  <si>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</si>
  <si>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</si>
  <si>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</si>
  <si>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</si>
  <si>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</si>
  <si>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</si>
  <si>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</si>
  <si>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</si>
  <si>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</si>
  <si>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</si>
  <si>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</si>
  <si>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</si>
  <si>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</si>
  <si>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</si>
  <si>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</si>
  <si>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</si>
  <si>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</si>
  <si>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</si>
  <si>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</si>
  <si>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</si>
  <si>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</si>
  <si>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</si>
  <si>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</si>
  <si>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</si>
  <si>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</si>
  <si>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</si>
  <si>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</si>
  <si>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</si>
  <si>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</si>
  <si>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</si>
  <si>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</si>
  <si>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</si>
  <si>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</si>
  <si>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</si>
  <si>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</si>
  <si>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</si>
  <si>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</si>
  <si>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</si>
  <si>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</si>
  <si>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</si>
  <si>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</si>
  <si>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</si>
  <si>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</si>
  <si>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</si>
  <si>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</si>
  <si>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</si>
  <si>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</si>
  <si>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</si>
  <si>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</si>
  <si>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</si>
  <si>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</si>
  <si>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</si>
  <si>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</si>
  <si>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</si>
  <si>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</si>
  <si>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</si>
  <si>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</si>
  <si>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</si>
  <si>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</si>
  <si>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</si>
  <si>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</si>
  <si>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</si>
  <si>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</si>
  <si>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</si>
  <si>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</si>
  <si>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</si>
  <si>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</si>
  <si>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</si>
  <si>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</si>
  <si>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</si>
  <si>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</si>
  <si>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</si>
  <si>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</si>
  <si>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</si>
  <si>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</si>
  <si>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</si>
  <si>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</si>
  <si>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</si>
  <si>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</si>
  <si>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</si>
  <si>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</si>
  <si>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</si>
  <si>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</si>
  <si>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</si>
  <si>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</si>
  <si>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</si>
  <si>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</si>
  <si>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</si>
  <si>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</si>
  <si>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</si>
  <si>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</si>
  <si>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</si>
  <si>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</si>
  <si>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</si>
  <si>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</si>
  <si>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</si>
  <si>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</si>
  <si>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</si>
  <si>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</si>
  <si>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</si>
  <si>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</si>
  <si>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</si>
  <si>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</si>
  <si>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</si>
  <si>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</si>
  <si>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</si>
  <si>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</si>
  <si>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</si>
  <si>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</si>
  <si>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</si>
  <si>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</si>
  <si>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</si>
  <si>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</si>
  <si>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</si>
  <si>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</si>
  <si>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</si>
  <si>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</si>
  <si>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</si>
  <si>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</si>
  <si>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</si>
  <si>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</si>
  <si>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</si>
  <si>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</si>
  <si>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</si>
  <si>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</si>
  <si>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</si>
  <si>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</si>
  <si>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</si>
  <si>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</si>
  <si>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</si>
  <si>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</si>
  <si>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</si>
  <si>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</si>
  <si>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</si>
  <si>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</si>
  <si>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</si>
  <si>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</si>
  <si>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</si>
  <si>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</si>
  <si>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</si>
  <si>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</si>
  <si>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</si>
  <si>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</si>
  <si>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</si>
  <si>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</si>
  <si>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</si>
  <si>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</si>
  <si>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</si>
  <si>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</si>
  <si>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</si>
  <si>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</si>
  <si>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</si>
  <si>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</si>
  <si>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</si>
  <si>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</si>
  <si>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</si>
  <si>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</si>
  <si>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</si>
  <si>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</si>
  <si>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</si>
  <si>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</si>
  <si>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</si>
  <si>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</si>
  <si>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</si>
  <si>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</si>
  <si>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</si>
  <si>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</si>
  <si>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</si>
  <si>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</si>
  <si>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</si>
  <si>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</si>
  <si>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</si>
  <si>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</si>
  <si>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</si>
  <si>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</si>
  <si>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</si>
  <si>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</si>
  <si>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</si>
  <si>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</si>
  <si>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</si>
  <si>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</si>
  <si>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</si>
  <si>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</si>
  <si>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</si>
  <si>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</si>
  <si>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</si>
  <si>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</si>
  <si>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</si>
  <si>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</si>
  <si>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</si>
  <si>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</si>
  <si>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</si>
  <si>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</si>
  <si>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</si>
  <si>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</si>
  <si>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</si>
  <si>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</si>
  <si>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</si>
  <si>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</si>
  <si>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</si>
  <si>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</si>
  <si>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</si>
  <si>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</si>
  <si>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</si>
  <si>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</si>
  <si>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</si>
  <si>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</si>
  <si>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</si>
  <si>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</si>
  <si>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</si>
  <si>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</si>
  <si>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</si>
  <si>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</si>
  <si>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</si>
  <si>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</si>
  <si>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</si>
  <si>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</si>
  <si>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</si>
  <si>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</si>
  <si>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</si>
  <si>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</si>
  <si>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</si>
  <si>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</si>
  <si>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</si>
  <si>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</si>
  <si>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</si>
  <si>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</si>
  <si>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</si>
  <si>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</si>
  <si>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</si>
  <si>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</si>
  <si>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</si>
  <si>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</si>
  <si>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</si>
  <si>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</si>
  <si>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</si>
  <si>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</si>
  <si>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</si>
  <si>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</si>
  <si>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</si>
  <si>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</si>
  <si>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</si>
  <si>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</si>
  <si>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</si>
  <si>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</si>
  <si>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</si>
  <si>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</si>
  <si>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</si>
  <si>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</si>
  <si>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</si>
  <si>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</si>
  <si>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</si>
  <si>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</si>
  <si>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</si>
  <si>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</si>
  <si>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</si>
  <si>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</si>
  <si>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</si>
  <si>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</si>
  <si>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</si>
  <si>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</si>
  <si>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</si>
  <si>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</si>
  <si>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</si>
  <si>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</si>
  <si>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</si>
  <si>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</si>
  <si>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2308</t>
  </si>
  <si>
    <t>2317</t>
  </si>
  <si>
    <t>2330</t>
  </si>
  <si>
    <t>2454</t>
  </si>
  <si>
    <t>total</t>
  </si>
  <si>
    <t>review_date</t>
  </si>
  <si>
    <t>effective_date</t>
  </si>
  <si>
    <t>total_stocks</t>
  </si>
  <si>
    <t>stocks_added</t>
  </si>
  <si>
    <t>stocks_removed</t>
  </si>
  <si>
    <t>stocks_maintained</t>
  </si>
  <si>
    <t>turnover</t>
  </si>
  <si>
    <t>portfolio_type</t>
  </si>
  <si>
    <t>stock_id</t>
  </si>
  <si>
    <t>weight</t>
  </si>
  <si>
    <t>old</t>
  </si>
  <si>
    <t>new</t>
  </si>
  <si>
    <t>權重驗證</t>
    <phoneticPr fontId="3" type="noConversion"/>
  </si>
  <si>
    <t>現金股利殖利率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</si>
</sst>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.00000000000_-;\-* #,##0.00000000000_-;_-* &quot;-&quot;??_-;_-@_-"/>
  </numFmts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14" fontId="0" fillId="2" borderId="0" xfId="0" applyNumberFormat="1" applyFill="1" applyAlignment="1">
      <alignment vertical="center"/>
    </xf>
    <xf numFmtId="177" fontId="0" fillId="0" borderId="0" xfId="1" applyNumberFormat="1" applyFont="1" applyAlignme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Fill="1" applyAlignment="1">
      <alignment vertical="center"/>
    </xf>
    <xf numFmtId="0" fontId="0" fillId="0" borderId="0" xfId="0" applyFill="1"/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E479"/>
  <sheetViews>
    <sheetView workbookViewId="0"/>
  </sheetViews>
  <sheetFormatPr baseColWidth="10" defaultColWidth="9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100</v>
      </c>
    </row>
    <row r="3" spans="1:5">
      <c r="A3" t="s">
        <v>6</v>
      </c>
      <c r="B3">
        <v>100.0275043294472</v>
      </c>
      <c r="C3">
        <v>100.2465926582457</v>
      </c>
      <c r="D3">
        <v>2.7504329447225467E-4</v>
      </c>
      <c r="E3">
        <v>2.4659265824573669E-3</v>
      </c>
    </row>
    <row r="4" spans="1:5">
      <c r="A4" t="s">
        <v>7</v>
      </c>
      <c r="B4">
        <v>99.387924054637963</v>
      </c>
      <c r="C4">
        <v>99.605611522998331</v>
      </c>
      <c r="D4">
        <v>-6.3940441091357991E-3</v>
      </c>
      <c r="E4">
        <v>-6.3940441091359101E-3</v>
      </c>
    </row>
    <row r="5" spans="1:5">
      <c r="A5" t="s">
        <v>8</v>
      </c>
      <c r="B5">
        <v>100.198687902909</v>
      </c>
      <c r="C5">
        <v>100.41815117181309</v>
      </c>
      <c r="D5">
        <v>8.1575690002877455E-3</v>
      </c>
      <c r="E5">
        <v>8.1575690002877455E-3</v>
      </c>
    </row>
    <row r="6" spans="1:5">
      <c r="A6" t="s">
        <v>9</v>
      </c>
      <c r="B6">
        <v>100.66359324402571</v>
      </c>
      <c r="C6">
        <v>100.8840747862029</v>
      </c>
      <c r="D6">
        <v>4.6398346210601016E-3</v>
      </c>
      <c r="E6">
        <v>4.6398346210601016E-3</v>
      </c>
    </row>
    <row r="7" spans="1:5">
      <c r="A7" t="s">
        <v>10</v>
      </c>
      <c r="B7">
        <v>100.2621095304864</v>
      </c>
      <c r="C7">
        <v>100.48171171056779</v>
      </c>
      <c r="D7">
        <v>-3.9883705776930789E-3</v>
      </c>
      <c r="E7">
        <v>-3.9883705776930789E-3</v>
      </c>
    </row>
    <row r="8" spans="1:5">
      <c r="A8" t="s">
        <v>11</v>
      </c>
      <c r="B8">
        <v>100.55540690467591</v>
      </c>
      <c r="C8">
        <v>100.775651488384</v>
      </c>
      <c r="D8">
        <v>2.9253062354557269E-3</v>
      </c>
      <c r="E8">
        <v>2.9253062354557269E-3</v>
      </c>
    </row>
    <row r="9" spans="1:5">
      <c r="A9" t="s">
        <v>12</v>
      </c>
      <c r="B9">
        <v>100.31816202368211</v>
      </c>
      <c r="C9">
        <v>100.5378869744668</v>
      </c>
      <c r="D9">
        <v>-2.359344845759725E-3</v>
      </c>
      <c r="E9">
        <v>-2.359344845759725E-3</v>
      </c>
    </row>
    <row r="10" spans="1:5">
      <c r="A10" t="s">
        <v>13</v>
      </c>
      <c r="B10">
        <v>100.5341103089164</v>
      </c>
      <c r="C10">
        <v>100.75430824709829</v>
      </c>
      <c r="D10">
        <v>2.152633988482755E-3</v>
      </c>
      <c r="E10">
        <v>2.152633988482755E-3</v>
      </c>
    </row>
    <row r="11" spans="1:5">
      <c r="A11" t="s">
        <v>14</v>
      </c>
      <c r="B11">
        <v>99.43137181977842</v>
      </c>
      <c r="C11">
        <v>99.649154450947421</v>
      </c>
      <c r="D11">
        <v>-1.0968799403003771E-2</v>
      </c>
      <c r="E11">
        <v>-1.096879940300388E-2</v>
      </c>
    </row>
    <row r="12" spans="1:5">
      <c r="A12" t="s">
        <v>15</v>
      </c>
      <c r="B12">
        <v>99.328748869070637</v>
      </c>
      <c r="C12">
        <v>99.546306727154288</v>
      </c>
      <c r="D12">
        <v>-1.032098308909934E-3</v>
      </c>
      <c r="E12">
        <v>-1.032098308909934E-3</v>
      </c>
    </row>
    <row r="13" spans="1:5">
      <c r="A13" t="s">
        <v>16</v>
      </c>
      <c r="B13">
        <v>100.598529768193</v>
      </c>
      <c r="C13">
        <v>100.818868803084</v>
      </c>
      <c r="D13">
        <v>1.2783619179540519E-2</v>
      </c>
      <c r="E13">
        <v>1.2783619179540519E-2</v>
      </c>
    </row>
    <row r="14" spans="1:5">
      <c r="A14" t="s">
        <v>17</v>
      </c>
      <c r="B14">
        <v>106.3429814476363</v>
      </c>
      <c r="C14">
        <v>106.57590244512591</v>
      </c>
      <c r="D14">
        <v>5.7102739897690658E-2</v>
      </c>
      <c r="E14">
        <v>5.7102739897690658E-2</v>
      </c>
    </row>
    <row r="15" spans="1:5">
      <c r="A15" t="s">
        <v>18</v>
      </c>
      <c r="B15">
        <v>106.3139499429812</v>
      </c>
      <c r="C15">
        <v>106.5468073533217</v>
      </c>
      <c r="D15">
        <v>-2.7299878430930852E-4</v>
      </c>
      <c r="E15">
        <v>-2.7299878430941948E-4</v>
      </c>
    </row>
    <row r="16" spans="1:5">
      <c r="A16" t="s">
        <v>19</v>
      </c>
      <c r="B16">
        <v>106.5928339500306</v>
      </c>
      <c r="C16">
        <v>106.82630219467551</v>
      </c>
      <c r="D16">
        <v>2.6232117911046959E-3</v>
      </c>
      <c r="E16">
        <v>2.6232117911046959E-3</v>
      </c>
    </row>
    <row r="17" spans="1:5">
      <c r="A17" t="s">
        <v>20</v>
      </c>
      <c r="B17">
        <v>106.6266944009548</v>
      </c>
      <c r="C17">
        <v>106.86023680949749</v>
      </c>
      <c r="D17">
        <v>3.1766160697177531E-4</v>
      </c>
      <c r="E17">
        <v>3.1766160697177531E-4</v>
      </c>
    </row>
    <row r="18" spans="1:5">
      <c r="A18" t="s">
        <v>21</v>
      </c>
      <c r="B18">
        <v>108.973881308511</v>
      </c>
      <c r="C18">
        <v>109.212564715626</v>
      </c>
      <c r="D18">
        <v>2.2013126457150371E-2</v>
      </c>
      <c r="E18">
        <v>2.2013126457150371E-2</v>
      </c>
    </row>
    <row r="19" spans="1:5">
      <c r="A19" t="s">
        <v>22</v>
      </c>
      <c r="B19">
        <v>109.24111175962329</v>
      </c>
      <c r="C19">
        <v>109.4803804764822</v>
      </c>
      <c r="D19">
        <v>2.452243123797881E-3</v>
      </c>
      <c r="E19">
        <v>2.452243123797881E-3</v>
      </c>
    </row>
    <row r="20" spans="1:5">
      <c r="A20" t="s">
        <v>23</v>
      </c>
      <c r="B20">
        <v>109.8372471626374</v>
      </c>
      <c r="C20">
        <v>110.07782158346301</v>
      </c>
      <c r="D20">
        <v>5.4570609307404983E-3</v>
      </c>
      <c r="E20">
        <v>5.4570609307404983E-3</v>
      </c>
    </row>
    <row r="21" spans="1:5">
      <c r="A21" t="s">
        <v>24</v>
      </c>
      <c r="B21">
        <v>109.14766079569161</v>
      </c>
      <c r="C21">
        <v>109.38672482869229</v>
      </c>
      <c r="D21">
        <v>-6.2782560994515402E-3</v>
      </c>
      <c r="E21">
        <v>-6.2782560994515402E-3</v>
      </c>
    </row>
    <row r="22" spans="1:5">
      <c r="A22" t="s">
        <v>25</v>
      </c>
      <c r="B22">
        <v>107.1867511732102</v>
      </c>
      <c r="C22">
        <v>107.42152026338491</v>
      </c>
      <c r="D22">
        <v>-1.7965658706621031E-2</v>
      </c>
      <c r="E22">
        <v>-1.7965658706621031E-2</v>
      </c>
    </row>
    <row r="23" spans="1:5">
      <c r="A23" t="s">
        <v>26</v>
      </c>
      <c r="B23">
        <v>106.91262264076261</v>
      </c>
      <c r="C23">
        <v>107.14679131245791</v>
      </c>
      <c r="D23">
        <v>-2.557485225059497E-3</v>
      </c>
      <c r="E23">
        <v>-2.557485225059497E-3</v>
      </c>
    </row>
    <row r="24" spans="1:5">
      <c r="A24" t="s">
        <v>27</v>
      </c>
      <c r="B24">
        <v>107.9002329429797</v>
      </c>
      <c r="C24">
        <v>108.1365647586229</v>
      </c>
      <c r="D24">
        <v>9.2375463048508522E-3</v>
      </c>
      <c r="E24">
        <v>9.2375463048508522E-3</v>
      </c>
    </row>
    <row r="25" spans="1:5">
      <c r="A25" t="s">
        <v>28</v>
      </c>
      <c r="B25">
        <v>109.4618303721752</v>
      </c>
      <c r="C25">
        <v>109.7015825247879</v>
      </c>
      <c r="D25">
        <v>1.447260479985046E-2</v>
      </c>
      <c r="E25">
        <v>1.447260479985046E-2</v>
      </c>
    </row>
    <row r="26" spans="1:5">
      <c r="A26" t="s">
        <v>29</v>
      </c>
      <c r="B26">
        <v>117.1064274725383</v>
      </c>
      <c r="C26">
        <v>117.3629234399075</v>
      </c>
      <c r="D26">
        <v>6.9838016360324495E-2</v>
      </c>
      <c r="E26">
        <v>6.9838016360324495E-2</v>
      </c>
    </row>
    <row r="27" spans="1:5">
      <c r="A27" t="s">
        <v>30</v>
      </c>
      <c r="B27">
        <v>115.1020729782617</v>
      </c>
      <c r="C27">
        <v>115.3541788463336</v>
      </c>
      <c r="D27">
        <v>-1.711566595904079E-2</v>
      </c>
      <c r="E27">
        <v>-1.711566595904079E-2</v>
      </c>
    </row>
    <row r="28" spans="1:5">
      <c r="A28" t="s">
        <v>31</v>
      </c>
      <c r="B28">
        <v>114.4338269733112</v>
      </c>
      <c r="C28">
        <v>114.6844691949447</v>
      </c>
      <c r="D28">
        <v>-5.8056817541132233E-3</v>
      </c>
      <c r="E28">
        <v>-5.8056817541132233E-3</v>
      </c>
    </row>
    <row r="29" spans="1:5">
      <c r="A29" t="s">
        <v>32</v>
      </c>
      <c r="B29">
        <v>115.9397963027765</v>
      </c>
      <c r="C29">
        <v>116.193737020217</v>
      </c>
      <c r="D29">
        <v>1.3160176228455001E-2</v>
      </c>
      <c r="E29">
        <v>1.3160176228455001E-2</v>
      </c>
    </row>
    <row r="30" spans="1:5">
      <c r="A30" t="s">
        <v>33</v>
      </c>
      <c r="B30">
        <v>115.0242966024958</v>
      </c>
      <c r="C30">
        <v>115.2762321184601</v>
      </c>
      <c r="D30">
        <v>-7.8963369738018763E-3</v>
      </c>
      <c r="E30">
        <v>-7.8963369738018763E-3</v>
      </c>
    </row>
    <row r="31" spans="1:5">
      <c r="A31" t="s">
        <v>34</v>
      </c>
      <c r="B31">
        <v>116.94997927449459</v>
      </c>
      <c r="C31">
        <v>117.2061325763692</v>
      </c>
      <c r="D31">
        <v>1.674152964963271E-2</v>
      </c>
      <c r="E31">
        <v>1.674152964963271E-2</v>
      </c>
    </row>
    <row r="32" spans="1:5">
      <c r="A32" t="s">
        <v>35</v>
      </c>
      <c r="B32">
        <v>118.37331436840491</v>
      </c>
      <c r="C32">
        <v>118.6325851739015</v>
      </c>
      <c r="D32">
        <v>1.217046042025882E-2</v>
      </c>
      <c r="E32">
        <v>1.217046042025882E-2</v>
      </c>
    </row>
    <row r="33" spans="1:5">
      <c r="A33" t="s">
        <v>36</v>
      </c>
      <c r="B33">
        <v>118.687012891842</v>
      </c>
      <c r="C33">
        <v>118.9469707852122</v>
      </c>
      <c r="D33">
        <v>2.6500780611820041E-3</v>
      </c>
      <c r="E33">
        <v>2.6500780611820041E-3</v>
      </c>
    </row>
    <row r="34" spans="1:5">
      <c r="A34" t="s">
        <v>37</v>
      </c>
      <c r="B34">
        <v>118.687012891842</v>
      </c>
      <c r="C34">
        <v>118.9469707852122</v>
      </c>
      <c r="D34">
        <v>0</v>
      </c>
      <c r="E34">
        <v>0</v>
      </c>
    </row>
    <row r="35" spans="1:5">
      <c r="A35" t="s">
        <v>38</v>
      </c>
      <c r="B35">
        <v>117.70804779774819</v>
      </c>
      <c r="C35">
        <v>117.9658614826043</v>
      </c>
      <c r="D35">
        <v>-8.2482916221502389E-3</v>
      </c>
      <c r="E35">
        <v>-8.2482916221502389E-3</v>
      </c>
    </row>
    <row r="36" spans="1:5">
      <c r="A36" t="s">
        <v>39</v>
      </c>
      <c r="B36">
        <v>117.1818952426529</v>
      </c>
      <c r="C36">
        <v>117.43855650563501</v>
      </c>
      <c r="D36">
        <v>-4.469979452886963E-3</v>
      </c>
      <c r="E36">
        <v>-4.469979452886963E-3</v>
      </c>
    </row>
    <row r="37" spans="1:5">
      <c r="A37" t="s">
        <v>40</v>
      </c>
      <c r="B37">
        <v>123.12978707777199</v>
      </c>
      <c r="C37">
        <v>123.39947589443319</v>
      </c>
      <c r="D37">
        <v>5.075777126494363E-2</v>
      </c>
      <c r="E37">
        <v>5.075777126494363E-2</v>
      </c>
    </row>
    <row r="38" spans="1:5">
      <c r="A38" t="s">
        <v>41</v>
      </c>
      <c r="B38">
        <v>123.89667876743719</v>
      </c>
      <c r="C38">
        <v>124.1680472922925</v>
      </c>
      <c r="D38">
        <v>6.2283197905703691E-3</v>
      </c>
      <c r="E38">
        <v>6.2283197905703691E-3</v>
      </c>
    </row>
    <row r="39" spans="1:5">
      <c r="A39" t="s">
        <v>42</v>
      </c>
      <c r="B39">
        <v>124.9242396878734</v>
      </c>
      <c r="C39">
        <v>125.19785885975131</v>
      </c>
      <c r="D39">
        <v>8.2936922172467398E-3</v>
      </c>
      <c r="E39">
        <v>8.2936922172467398E-3</v>
      </c>
    </row>
    <row r="40" spans="1:5">
      <c r="A40" t="s">
        <v>43</v>
      </c>
      <c r="B40">
        <v>128.96638184054021</v>
      </c>
      <c r="C40">
        <v>129.2488544390323</v>
      </c>
      <c r="D40">
        <v>3.2356748080005548E-2</v>
      </c>
      <c r="E40">
        <v>3.2356748080005548E-2</v>
      </c>
    </row>
    <row r="41" spans="1:5">
      <c r="A41" t="s">
        <v>44</v>
      </c>
      <c r="B41">
        <v>132.24555384392841</v>
      </c>
      <c r="C41">
        <v>132.53520875011569</v>
      </c>
      <c r="D41">
        <v>2.542656432311774E-2</v>
      </c>
      <c r="E41">
        <v>2.542656432311774E-2</v>
      </c>
    </row>
    <row r="42" spans="1:5">
      <c r="A42" t="s">
        <v>45</v>
      </c>
      <c r="B42">
        <v>129.9457713280994</v>
      </c>
      <c r="C42">
        <v>130.23038906464649</v>
      </c>
      <c r="D42">
        <v>-1.7390244503366351E-2</v>
      </c>
      <c r="E42">
        <v>-1.739024450336624E-2</v>
      </c>
    </row>
    <row r="43" spans="1:5">
      <c r="A43" t="s">
        <v>46</v>
      </c>
      <c r="B43">
        <v>131.17245538387931</v>
      </c>
      <c r="C43">
        <v>131.45975990304231</v>
      </c>
      <c r="D43">
        <v>9.4399690212516596E-3</v>
      </c>
      <c r="E43">
        <v>9.4399690212516596E-3</v>
      </c>
    </row>
    <row r="44" spans="1:5">
      <c r="A44" t="s">
        <v>47</v>
      </c>
      <c r="B44">
        <v>132.59068328947819</v>
      </c>
      <c r="C44">
        <v>132.88109412608631</v>
      </c>
      <c r="D44">
        <v>1.0811933812235001E-2</v>
      </c>
      <c r="E44">
        <v>1.0811933812235001E-2</v>
      </c>
    </row>
    <row r="45" spans="1:5">
      <c r="A45" t="s">
        <v>48</v>
      </c>
      <c r="B45">
        <v>132.7880213184886</v>
      </c>
      <c r="C45">
        <v>133.07886438080581</v>
      </c>
      <c r="D45">
        <v>1.4883250022899031E-3</v>
      </c>
      <c r="E45">
        <v>1.4883250022899031E-3</v>
      </c>
    </row>
    <row r="46" spans="1:5">
      <c r="A46" t="s">
        <v>49</v>
      </c>
      <c r="B46">
        <v>129.02315641081589</v>
      </c>
      <c r="C46">
        <v>129.30575336156289</v>
      </c>
      <c r="D46">
        <v>-2.8352443769327999E-2</v>
      </c>
      <c r="E46">
        <v>-2.835244376932811E-2</v>
      </c>
    </row>
    <row r="47" spans="1:5">
      <c r="A47" t="s">
        <v>50</v>
      </c>
      <c r="B47">
        <v>131.22824986851691</v>
      </c>
      <c r="C47">
        <v>132.02316805571741</v>
      </c>
      <c r="D47">
        <v>1.7090679836415431E-2</v>
      </c>
      <c r="E47">
        <v>2.101541983639366E-2</v>
      </c>
    </row>
    <row r="48" spans="1:5">
      <c r="A48" t="s">
        <v>51</v>
      </c>
      <c r="B48">
        <v>130.7646282436269</v>
      </c>
      <c r="C48">
        <v>131.55673803201111</v>
      </c>
      <c r="D48">
        <v>-3.532940699540466E-3</v>
      </c>
      <c r="E48">
        <v>-3.532940699540577E-3</v>
      </c>
    </row>
    <row r="49" spans="1:5">
      <c r="A49" t="s">
        <v>52</v>
      </c>
      <c r="B49">
        <v>130.16713509554549</v>
      </c>
      <c r="C49">
        <v>130.9556255552362</v>
      </c>
      <c r="D49">
        <v>-4.5692260675281871E-3</v>
      </c>
      <c r="E49">
        <v>-4.569226067528076E-3</v>
      </c>
    </row>
    <row r="50" spans="1:5">
      <c r="A50" t="s">
        <v>53</v>
      </c>
      <c r="B50">
        <v>134.36297716151151</v>
      </c>
      <c r="C50">
        <v>135.17688403247189</v>
      </c>
      <c r="D50">
        <v>3.223426606789892E-2</v>
      </c>
      <c r="E50">
        <v>3.223426606789892E-2</v>
      </c>
    </row>
    <row r="51" spans="1:5">
      <c r="A51" t="s">
        <v>54</v>
      </c>
      <c r="B51">
        <v>134.6096683019164</v>
      </c>
      <c r="C51">
        <v>135.425069510219</v>
      </c>
      <c r="D51">
        <v>1.8360053164678809E-3</v>
      </c>
      <c r="E51">
        <v>1.8360053164678809E-3</v>
      </c>
    </row>
    <row r="52" spans="1:5">
      <c r="A52" t="s">
        <v>55</v>
      </c>
      <c r="B52">
        <v>133.84313273253599</v>
      </c>
      <c r="C52">
        <v>134.65389063373181</v>
      </c>
      <c r="D52">
        <v>-5.694506041431735E-3</v>
      </c>
      <c r="E52">
        <v>-5.694506041431735E-3</v>
      </c>
    </row>
    <row r="53" spans="1:5">
      <c r="A53" t="s">
        <v>56</v>
      </c>
      <c r="B53">
        <v>133.94775750881169</v>
      </c>
      <c r="C53">
        <v>134.7591491770323</v>
      </c>
      <c r="D53">
        <v>7.8169700708308199E-4</v>
      </c>
      <c r="E53">
        <v>7.8169700708308199E-4</v>
      </c>
    </row>
    <row r="54" spans="1:5">
      <c r="A54" t="s">
        <v>57</v>
      </c>
      <c r="B54">
        <v>134.32401290199689</v>
      </c>
      <c r="C54">
        <v>135.13768374604561</v>
      </c>
      <c r="D54">
        <v>2.8089712002863369E-3</v>
      </c>
      <c r="E54">
        <v>2.8089712002863369E-3</v>
      </c>
    </row>
    <row r="55" spans="1:5">
      <c r="A55" t="s">
        <v>58</v>
      </c>
      <c r="B55">
        <v>133.3780959628499</v>
      </c>
      <c r="C55">
        <v>134.18603689295671</v>
      </c>
      <c r="D55">
        <v>-7.0420539016885497E-3</v>
      </c>
      <c r="E55">
        <v>-7.0420539016885497E-3</v>
      </c>
    </row>
    <row r="56" spans="1:5">
      <c r="A56" t="s">
        <v>59</v>
      </c>
      <c r="B56">
        <v>134.70216497588561</v>
      </c>
      <c r="C56">
        <v>135.51812648495019</v>
      </c>
      <c r="D56">
        <v>9.9271848460369405E-3</v>
      </c>
      <c r="E56">
        <v>9.9271848460369405E-3</v>
      </c>
    </row>
    <row r="57" spans="1:5">
      <c r="A57" t="s">
        <v>60</v>
      </c>
      <c r="B57">
        <v>133.13443684802149</v>
      </c>
      <c r="C57">
        <v>133.94090180735179</v>
      </c>
      <c r="D57">
        <v>-1.163847758604852E-2</v>
      </c>
      <c r="E57">
        <v>-1.1638477586048629E-2</v>
      </c>
    </row>
    <row r="58" spans="1:5">
      <c r="A58" t="s">
        <v>61</v>
      </c>
      <c r="B58">
        <v>136.72975374032939</v>
      </c>
      <c r="C58">
        <v>137.5579974156702</v>
      </c>
      <c r="D58">
        <v>2.7005160929265189E-2</v>
      </c>
      <c r="E58">
        <v>2.7005160929265189E-2</v>
      </c>
    </row>
    <row r="59" spans="1:5">
      <c r="A59" t="s">
        <v>62</v>
      </c>
      <c r="B59">
        <v>135.2402957674403</v>
      </c>
      <c r="C59">
        <v>136.05951701633779</v>
      </c>
      <c r="D59">
        <v>-1.089344441969708E-2</v>
      </c>
      <c r="E59">
        <v>-1.089344441969708E-2</v>
      </c>
    </row>
    <row r="60" spans="1:5">
      <c r="A60" t="s">
        <v>63</v>
      </c>
      <c r="B60">
        <v>135.50917415869631</v>
      </c>
      <c r="C60">
        <v>136.330024144726</v>
      </c>
      <c r="D60">
        <v>1.9881529371865709E-3</v>
      </c>
      <c r="E60">
        <v>1.9881529371865709E-3</v>
      </c>
    </row>
    <row r="61" spans="1:5">
      <c r="A61" t="s">
        <v>64</v>
      </c>
      <c r="B61">
        <v>140.80144179570269</v>
      </c>
      <c r="C61">
        <v>141.65434981649551</v>
      </c>
      <c r="D61">
        <v>3.9054681499339113E-2</v>
      </c>
      <c r="E61">
        <v>3.9054681499339113E-2</v>
      </c>
    </row>
    <row r="62" spans="1:5">
      <c r="A62" t="s">
        <v>65</v>
      </c>
      <c r="B62">
        <v>140.2566255171258</v>
      </c>
      <c r="C62">
        <v>141.10623330059201</v>
      </c>
      <c r="D62">
        <v>-3.869394174012331E-3</v>
      </c>
      <c r="E62">
        <v>-3.869394174012331E-3</v>
      </c>
    </row>
    <row r="63" spans="1:5">
      <c r="A63" t="s">
        <v>66</v>
      </c>
      <c r="B63">
        <v>140.6737418505291</v>
      </c>
      <c r="C63">
        <v>141.52587632592281</v>
      </c>
      <c r="D63">
        <v>2.9739510120492252E-3</v>
      </c>
      <c r="E63">
        <v>2.9739510120492252E-3</v>
      </c>
    </row>
    <row r="64" spans="1:5">
      <c r="A64" t="s">
        <v>67</v>
      </c>
      <c r="B64">
        <v>140.24894458519219</v>
      </c>
      <c r="C64">
        <v>141.09850584123379</v>
      </c>
      <c r="D64">
        <v>-3.0197338874251578E-3</v>
      </c>
      <c r="E64">
        <v>-3.0197338874251578E-3</v>
      </c>
    </row>
    <row r="65" spans="1:5">
      <c r="A65" t="s">
        <v>68</v>
      </c>
      <c r="B65">
        <v>137.55392725859139</v>
      </c>
      <c r="C65">
        <v>138.38716338425999</v>
      </c>
      <c r="D65">
        <v>-1.9215954419989689E-2</v>
      </c>
      <c r="E65">
        <v>-1.9215954419989911E-2</v>
      </c>
    </row>
    <row r="66" spans="1:5">
      <c r="A66" t="s">
        <v>69</v>
      </c>
      <c r="B66">
        <v>134.08341818584199</v>
      </c>
      <c r="C66">
        <v>134.89563162178081</v>
      </c>
      <c r="D66">
        <v>-2.5230170754958588E-2</v>
      </c>
      <c r="E66">
        <v>-2.5230170754958588E-2</v>
      </c>
    </row>
    <row r="67" spans="1:5">
      <c r="A67" t="s">
        <v>70</v>
      </c>
      <c r="B67">
        <v>136.78022466628161</v>
      </c>
      <c r="C67">
        <v>137.60877407043461</v>
      </c>
      <c r="D67">
        <v>2.0112900736926061E-2</v>
      </c>
      <c r="E67">
        <v>2.0112900736926061E-2</v>
      </c>
    </row>
    <row r="68" spans="1:5">
      <c r="A68" t="s">
        <v>71</v>
      </c>
      <c r="B68">
        <v>136.89669774494061</v>
      </c>
      <c r="C68">
        <v>137.7259526874868</v>
      </c>
      <c r="D68">
        <v>8.5153448857977487E-4</v>
      </c>
      <c r="E68">
        <v>8.5153448857977487E-4</v>
      </c>
    </row>
    <row r="69" spans="1:5">
      <c r="A69" t="s">
        <v>72</v>
      </c>
      <c r="B69">
        <v>128.20370210057939</v>
      </c>
      <c r="C69">
        <v>128.98029901906531</v>
      </c>
      <c r="D69">
        <v>-6.3500404228578167E-2</v>
      </c>
      <c r="E69">
        <v>-6.3500404228578278E-2</v>
      </c>
    </row>
    <row r="70" spans="1:5">
      <c r="A70" t="s">
        <v>73</v>
      </c>
      <c r="B70">
        <v>126.8115151592587</v>
      </c>
      <c r="C70">
        <v>127.5796788728459</v>
      </c>
      <c r="D70">
        <v>-1.0859178935632711E-2</v>
      </c>
      <c r="E70">
        <v>-1.0859178935632711E-2</v>
      </c>
    </row>
    <row r="71" spans="1:5">
      <c r="A71" t="s">
        <v>74</v>
      </c>
      <c r="B71">
        <v>128.67651344583169</v>
      </c>
      <c r="C71">
        <v>129.45597443007961</v>
      </c>
      <c r="D71">
        <v>1.470685279827166E-2</v>
      </c>
      <c r="E71">
        <v>1.470685279827166E-2</v>
      </c>
    </row>
    <row r="72" spans="1:5">
      <c r="A72" t="s">
        <v>75</v>
      </c>
      <c r="B72">
        <v>134.1327080760791</v>
      </c>
      <c r="C72">
        <v>134.94522008667869</v>
      </c>
      <c r="D72">
        <v>4.2402412718031128E-2</v>
      </c>
      <c r="E72">
        <v>4.2402412718031128E-2</v>
      </c>
    </row>
    <row r="73" spans="1:5">
      <c r="A73" t="s">
        <v>76</v>
      </c>
      <c r="B73">
        <v>131.07239630611679</v>
      </c>
      <c r="C73">
        <v>131.8663704067246</v>
      </c>
      <c r="D73">
        <v>-2.281555195490792E-2</v>
      </c>
      <c r="E73">
        <v>-2.2815551954907809E-2</v>
      </c>
    </row>
    <row r="74" spans="1:5">
      <c r="A74" t="s">
        <v>77</v>
      </c>
      <c r="B74">
        <v>133.86686171039969</v>
      </c>
      <c r="C74">
        <v>134.67776335043291</v>
      </c>
      <c r="D74">
        <v>2.1320014610524799E-2</v>
      </c>
      <c r="E74">
        <v>2.1320014610524799E-2</v>
      </c>
    </row>
    <row r="75" spans="1:5">
      <c r="A75" t="s">
        <v>78</v>
      </c>
      <c r="B75">
        <v>136.10545680813689</v>
      </c>
      <c r="C75">
        <v>136.9299187902362</v>
      </c>
      <c r="D75">
        <v>1.6722548576510121E-2</v>
      </c>
      <c r="E75">
        <v>1.6722548576510121E-2</v>
      </c>
    </row>
    <row r="76" spans="1:5">
      <c r="A76" t="s">
        <v>79</v>
      </c>
      <c r="B76">
        <v>134.9877920438536</v>
      </c>
      <c r="C76">
        <v>135.80548374555059</v>
      </c>
      <c r="D76">
        <v>-8.2117557259938634E-3</v>
      </c>
      <c r="E76">
        <v>-8.2117557259939744E-3</v>
      </c>
    </row>
    <row r="77" spans="1:5">
      <c r="A77" t="s">
        <v>80</v>
      </c>
      <c r="B77">
        <v>132.2997550184046</v>
      </c>
      <c r="C77">
        <v>133.10116387306559</v>
      </c>
      <c r="D77">
        <v>-1.9913186109272511E-2</v>
      </c>
      <c r="E77">
        <v>-1.9913186109272622E-2</v>
      </c>
    </row>
    <row r="78" spans="1:5">
      <c r="A78" t="s">
        <v>81</v>
      </c>
      <c r="B78">
        <v>133.96063362920361</v>
      </c>
      <c r="C78">
        <v>134.77210329482401</v>
      </c>
      <c r="D78">
        <v>1.2553905414019351E-2</v>
      </c>
      <c r="E78">
        <v>1.2553905414019351E-2</v>
      </c>
    </row>
    <row r="79" spans="1:5">
      <c r="A79" t="s">
        <v>82</v>
      </c>
      <c r="B79">
        <v>135.67748761726179</v>
      </c>
      <c r="C79">
        <v>136.49935716599609</v>
      </c>
      <c r="D79">
        <v>1.2816108296489491E-2</v>
      </c>
      <c r="E79">
        <v>1.2816108296489491E-2</v>
      </c>
    </row>
    <row r="80" spans="1:5">
      <c r="A80" t="s">
        <v>83</v>
      </c>
      <c r="B80">
        <v>137.9441941170416</v>
      </c>
      <c r="C80">
        <v>138.77979429331629</v>
      </c>
      <c r="D80">
        <v>1.670657777931495E-2</v>
      </c>
      <c r="E80">
        <v>1.670657777931495E-2</v>
      </c>
    </row>
    <row r="81" spans="1:5">
      <c r="A81" t="s">
        <v>84</v>
      </c>
      <c r="B81">
        <v>138.6694947371613</v>
      </c>
      <c r="C81">
        <v>139.509488438875</v>
      </c>
      <c r="D81">
        <v>5.2579278509121696E-3</v>
      </c>
      <c r="E81">
        <v>5.2579278509121696E-3</v>
      </c>
    </row>
    <row r="82" spans="1:5">
      <c r="A82" t="s">
        <v>85</v>
      </c>
      <c r="B82">
        <v>137.8796365720568</v>
      </c>
      <c r="C82">
        <v>138.7148456894956</v>
      </c>
      <c r="D82">
        <v>-5.6959763688591014E-3</v>
      </c>
      <c r="E82">
        <v>-5.6959763688591014E-3</v>
      </c>
    </row>
    <row r="83" spans="1:5">
      <c r="A83" t="s">
        <v>86</v>
      </c>
      <c r="B83">
        <v>138.6694947371613</v>
      </c>
      <c r="C83">
        <v>139.509488438875</v>
      </c>
      <c r="D83">
        <v>5.7286063753998473E-3</v>
      </c>
      <c r="E83">
        <v>5.7286063753998473E-3</v>
      </c>
    </row>
    <row r="84" spans="1:5">
      <c r="A84" t="s">
        <v>87</v>
      </c>
      <c r="B84">
        <v>141.30188357257759</v>
      </c>
      <c r="C84">
        <v>142.15782303111689</v>
      </c>
      <c r="D84">
        <v>1.8983186175198789E-2</v>
      </c>
      <c r="E84">
        <v>1.8983186175198789E-2</v>
      </c>
    </row>
    <row r="85" spans="1:5">
      <c r="A85" t="s">
        <v>88</v>
      </c>
      <c r="B85">
        <v>142.71241758152601</v>
      </c>
      <c r="C85">
        <v>143.57690138275461</v>
      </c>
      <c r="D85">
        <v>9.9824147653628792E-3</v>
      </c>
      <c r="E85">
        <v>9.9824147653628792E-3</v>
      </c>
    </row>
    <row r="86" spans="1:5">
      <c r="A86" t="s">
        <v>89</v>
      </c>
      <c r="B86">
        <v>144.6201272326916</v>
      </c>
      <c r="C86">
        <v>145.49616702966901</v>
      </c>
      <c r="D86">
        <v>1.336750987401447E-2</v>
      </c>
      <c r="E86">
        <v>1.336750987401447E-2</v>
      </c>
    </row>
    <row r="87" spans="1:5">
      <c r="A87" t="s">
        <v>90</v>
      </c>
      <c r="B87">
        <v>145.29223707430239</v>
      </c>
      <c r="C87">
        <v>146.17234819233619</v>
      </c>
      <c r="D87">
        <v>4.6474156431173252E-3</v>
      </c>
      <c r="E87">
        <v>4.6474156431173252E-3</v>
      </c>
    </row>
    <row r="88" spans="1:5">
      <c r="A88" t="s">
        <v>91</v>
      </c>
      <c r="B88">
        <v>144.09019128207481</v>
      </c>
      <c r="C88">
        <v>144.96302097965949</v>
      </c>
      <c r="D88">
        <v>-8.2732967461497386E-3</v>
      </c>
      <c r="E88">
        <v>-8.2732967461495166E-3</v>
      </c>
    </row>
    <row r="89" spans="1:5">
      <c r="A89" t="s">
        <v>92</v>
      </c>
      <c r="B89">
        <v>144.11413531366779</v>
      </c>
      <c r="C89">
        <v>144.9871100527829</v>
      </c>
      <c r="D89">
        <v>1.6617391773832149E-4</v>
      </c>
      <c r="E89">
        <v>1.6617391773832149E-4</v>
      </c>
    </row>
    <row r="90" spans="1:5">
      <c r="A90" t="s">
        <v>93</v>
      </c>
      <c r="B90">
        <v>144.73432962160439</v>
      </c>
      <c r="C90">
        <v>145.61106120221879</v>
      </c>
      <c r="D90">
        <v>4.303493939624925E-3</v>
      </c>
      <c r="E90">
        <v>4.303493939624925E-3</v>
      </c>
    </row>
    <row r="91" spans="1:5">
      <c r="A91" t="s">
        <v>94</v>
      </c>
      <c r="B91">
        <v>148.3799451668061</v>
      </c>
      <c r="C91">
        <v>149.2787601486952</v>
      </c>
      <c r="D91">
        <v>2.518832646499836E-2</v>
      </c>
      <c r="E91">
        <v>2.518832646499836E-2</v>
      </c>
    </row>
    <row r="92" spans="1:5">
      <c r="A92" t="s">
        <v>95</v>
      </c>
      <c r="B92">
        <v>150.45542199443591</v>
      </c>
      <c r="C92">
        <v>151.36680922566191</v>
      </c>
      <c r="D92">
        <v>1.398758319594084E-2</v>
      </c>
      <c r="E92">
        <v>1.398758319594084E-2</v>
      </c>
    </row>
    <row r="93" spans="1:5">
      <c r="A93" t="s">
        <v>96</v>
      </c>
      <c r="B93">
        <v>149.44446597439671</v>
      </c>
      <c r="C93">
        <v>150.34972931592989</v>
      </c>
      <c r="D93">
        <v>-6.7193060019901107E-3</v>
      </c>
      <c r="E93">
        <v>-6.7193060019901107E-3</v>
      </c>
    </row>
    <row r="94" spans="1:5">
      <c r="A94" t="s">
        <v>97</v>
      </c>
      <c r="B94">
        <v>151.21751039344349</v>
      </c>
      <c r="C94">
        <v>152.13351399293799</v>
      </c>
      <c r="D94">
        <v>1.1864236039028199E-2</v>
      </c>
      <c r="E94">
        <v>1.1864236039028199E-2</v>
      </c>
    </row>
    <row r="95" spans="1:5">
      <c r="A95" t="s">
        <v>98</v>
      </c>
      <c r="B95">
        <v>150.89606265954751</v>
      </c>
      <c r="C95">
        <v>151.81011908188961</v>
      </c>
      <c r="D95">
        <v>-2.1257308962407961E-3</v>
      </c>
      <c r="E95">
        <v>-2.1257308962405741E-3</v>
      </c>
    </row>
    <row r="96" spans="1:5">
      <c r="A96" t="s">
        <v>99</v>
      </c>
      <c r="B96">
        <v>149.17669055491689</v>
      </c>
      <c r="C96">
        <v>150.08033184059519</v>
      </c>
      <c r="D96">
        <v>-1.1394413308913659E-2</v>
      </c>
      <c r="E96">
        <v>-1.1394413308913659E-2</v>
      </c>
    </row>
    <row r="97" spans="1:5">
      <c r="A97" t="s">
        <v>100</v>
      </c>
      <c r="B97">
        <v>146.11899054515951</v>
      </c>
      <c r="C97">
        <v>147.0041097416443</v>
      </c>
      <c r="D97">
        <v>-2.0497170156967611E-2</v>
      </c>
      <c r="E97">
        <v>-2.0497170156967611E-2</v>
      </c>
    </row>
    <row r="98" spans="1:5">
      <c r="A98" t="s">
        <v>101</v>
      </c>
      <c r="B98">
        <v>142.8318903126648</v>
      </c>
      <c r="C98">
        <v>143.69709782275149</v>
      </c>
      <c r="D98">
        <v>-2.249605078868078E-2</v>
      </c>
      <c r="E98">
        <v>-2.249605078868078E-2</v>
      </c>
    </row>
    <row r="99" spans="1:5">
      <c r="A99" t="s">
        <v>102</v>
      </c>
      <c r="B99">
        <v>147.10121372728699</v>
      </c>
      <c r="C99">
        <v>147.9922827636284</v>
      </c>
      <c r="D99">
        <v>2.9890547589032979E-2</v>
      </c>
      <c r="E99">
        <v>2.9890547589032979E-2</v>
      </c>
    </row>
    <row r="100" spans="1:5">
      <c r="A100" t="s">
        <v>103</v>
      </c>
      <c r="B100">
        <v>145.40037541206189</v>
      </c>
      <c r="C100">
        <v>146.2811415806014</v>
      </c>
      <c r="D100">
        <v>-1.15623676523724E-2</v>
      </c>
      <c r="E100">
        <v>-1.1562367652372511E-2</v>
      </c>
    </row>
    <row r="101" spans="1:5">
      <c r="A101" t="s">
        <v>104</v>
      </c>
      <c r="B101">
        <v>147.83133552682219</v>
      </c>
      <c r="C101">
        <v>148.72682729300939</v>
      </c>
      <c r="D101">
        <v>1.671907729172584E-2</v>
      </c>
      <c r="E101">
        <v>1.671907729172584E-2</v>
      </c>
    </row>
    <row r="102" spans="1:5">
      <c r="A102" t="s">
        <v>105</v>
      </c>
      <c r="B102">
        <v>154.2933701835637</v>
      </c>
      <c r="C102">
        <v>155.22800587554519</v>
      </c>
      <c r="D102">
        <v>4.3712211850843292E-2</v>
      </c>
      <c r="E102">
        <v>4.3712211850843292E-2</v>
      </c>
    </row>
    <row r="103" spans="1:5">
      <c r="A103" t="s">
        <v>106</v>
      </c>
      <c r="B103">
        <v>151.99376347542261</v>
      </c>
      <c r="C103">
        <v>152.91446924608351</v>
      </c>
      <c r="D103">
        <v>-1.4904118727883661E-2</v>
      </c>
      <c r="E103">
        <v>-1.4904118727883549E-2</v>
      </c>
    </row>
    <row r="104" spans="1:5">
      <c r="A104" t="s">
        <v>107</v>
      </c>
      <c r="B104">
        <v>152.76143438967611</v>
      </c>
      <c r="C104">
        <v>153.6867903448219</v>
      </c>
      <c r="D104">
        <v>5.0506737691091708E-3</v>
      </c>
      <c r="E104">
        <v>5.0506737691091708E-3</v>
      </c>
    </row>
    <row r="105" spans="1:5">
      <c r="A105" t="s">
        <v>108</v>
      </c>
      <c r="B105">
        <v>157.3258509168935</v>
      </c>
      <c r="C105">
        <v>158.27885593171271</v>
      </c>
      <c r="D105">
        <v>2.9879377248934299E-2</v>
      </c>
      <c r="E105">
        <v>2.9879377248934299E-2</v>
      </c>
    </row>
    <row r="106" spans="1:5">
      <c r="A106" t="s">
        <v>109</v>
      </c>
      <c r="B106">
        <v>159.86253877970549</v>
      </c>
      <c r="C106">
        <v>161.33999031470961</v>
      </c>
      <c r="D106">
        <v>1.6123782887734309E-2</v>
      </c>
      <c r="E106">
        <v>1.9340134631233189E-2</v>
      </c>
    </row>
    <row r="107" spans="1:5">
      <c r="A107" t="s">
        <v>110</v>
      </c>
      <c r="B107">
        <v>160.85088745768701</v>
      </c>
      <c r="C107">
        <v>162.3374733232387</v>
      </c>
      <c r="D107">
        <v>6.1824908169600956E-3</v>
      </c>
      <c r="E107">
        <v>6.1824908169600956E-3</v>
      </c>
    </row>
    <row r="108" spans="1:5">
      <c r="A108" t="s">
        <v>111</v>
      </c>
      <c r="B108">
        <v>160.73093183536241</v>
      </c>
      <c r="C108">
        <v>162.2164090695882</v>
      </c>
      <c r="D108">
        <v>-7.4575667079335162E-4</v>
      </c>
      <c r="E108">
        <v>-7.4575667079324059E-4</v>
      </c>
    </row>
    <row r="109" spans="1:5">
      <c r="A109" t="s">
        <v>112</v>
      </c>
      <c r="B109">
        <v>164.011654148547</v>
      </c>
      <c r="C109">
        <v>165.5274518584423</v>
      </c>
      <c r="D109">
        <v>2.0411269167188491E-2</v>
      </c>
      <c r="E109">
        <v>2.0411269167188491E-2</v>
      </c>
    </row>
    <row r="110" spans="1:5">
      <c r="A110" t="s">
        <v>113</v>
      </c>
      <c r="B110">
        <v>170.55287595823469</v>
      </c>
      <c r="C110">
        <v>172.1291277199503</v>
      </c>
      <c r="D110">
        <v>3.9882664702370452E-2</v>
      </c>
      <c r="E110">
        <v>3.9882664702370452E-2</v>
      </c>
    </row>
    <row r="111" spans="1:5">
      <c r="A111" t="s">
        <v>114</v>
      </c>
      <c r="B111">
        <v>171.81361251107421</v>
      </c>
      <c r="C111">
        <v>173.40151601540231</v>
      </c>
      <c r="D111">
        <v>7.3920568372489734E-3</v>
      </c>
      <c r="E111">
        <v>7.3920568372489734E-3</v>
      </c>
    </row>
    <row r="112" spans="1:5">
      <c r="A112" t="s">
        <v>115</v>
      </c>
      <c r="B112">
        <v>169.70828166752989</v>
      </c>
      <c r="C112">
        <v>171.27672767850009</v>
      </c>
      <c r="D112">
        <v>-1.225357416548456E-2</v>
      </c>
      <c r="E112">
        <v>-1.225357416548456E-2</v>
      </c>
    </row>
    <row r="113" spans="1:5">
      <c r="A113" t="s">
        <v>116</v>
      </c>
      <c r="B113">
        <v>164.20614674120219</v>
      </c>
      <c r="C113">
        <v>165.72374195401309</v>
      </c>
      <c r="D113">
        <v>-3.2421133914412259E-2</v>
      </c>
      <c r="E113">
        <v>-3.2421133914412259E-2</v>
      </c>
    </row>
    <row r="114" spans="1:5">
      <c r="A114" t="s">
        <v>117</v>
      </c>
      <c r="B114">
        <v>165.09932101321951</v>
      </c>
      <c r="C114">
        <v>166.62517095355631</v>
      </c>
      <c r="D114">
        <v>5.4393473675808934E-3</v>
      </c>
      <c r="E114">
        <v>5.4393473675808934E-3</v>
      </c>
    </row>
    <row r="115" spans="1:5">
      <c r="A115" t="s">
        <v>118</v>
      </c>
      <c r="B115">
        <v>167.3638007330419</v>
      </c>
      <c r="C115">
        <v>168.91057902259411</v>
      </c>
      <c r="D115">
        <v>1.371586331140073E-2</v>
      </c>
      <c r="E115">
        <v>1.371586331140073E-2</v>
      </c>
    </row>
    <row r="116" spans="1:5">
      <c r="A116" t="s">
        <v>119</v>
      </c>
      <c r="B116">
        <v>167.4710356312842</v>
      </c>
      <c r="C116">
        <v>169.0188049870751</v>
      </c>
      <c r="D116">
        <v>6.4072934393610836E-4</v>
      </c>
      <c r="E116">
        <v>6.4072934393610836E-4</v>
      </c>
    </row>
    <row r="117" spans="1:5">
      <c r="A117" t="s">
        <v>120</v>
      </c>
      <c r="B117">
        <v>168.49857756321919</v>
      </c>
      <c r="C117">
        <v>170.0558434740893</v>
      </c>
      <c r="D117">
        <v>6.135639682776528E-3</v>
      </c>
      <c r="E117">
        <v>6.135639682776528E-3</v>
      </c>
    </row>
    <row r="118" spans="1:5">
      <c r="A118" t="s">
        <v>121</v>
      </c>
      <c r="B118">
        <v>169.07460554018849</v>
      </c>
      <c r="C118">
        <v>170.63719510865391</v>
      </c>
      <c r="D118">
        <v>3.4185925204808232E-3</v>
      </c>
      <c r="E118">
        <v>3.4185925204808232E-3</v>
      </c>
    </row>
    <row r="119" spans="1:5">
      <c r="A119" t="s">
        <v>122</v>
      </c>
      <c r="B119">
        <v>166.97912833455831</v>
      </c>
      <c r="C119">
        <v>168.94687351040841</v>
      </c>
      <c r="D119">
        <v>-1.239380212619845E-2</v>
      </c>
      <c r="E119">
        <v>-9.9059387208586536E-3</v>
      </c>
    </row>
    <row r="120" spans="1:5">
      <c r="A120" t="s">
        <v>123</v>
      </c>
      <c r="B120">
        <v>169.57348779780929</v>
      </c>
      <c r="C120">
        <v>171.57180588638889</v>
      </c>
      <c r="D120">
        <v>1.5537028424611909E-2</v>
      </c>
      <c r="E120">
        <v>1.5537028424611909E-2</v>
      </c>
    </row>
    <row r="121" spans="1:5">
      <c r="A121" t="s">
        <v>124</v>
      </c>
      <c r="B121">
        <v>173.95091834600541</v>
      </c>
      <c r="C121">
        <v>176.27069337833129</v>
      </c>
      <c r="D121">
        <v>2.581435697905499E-2</v>
      </c>
      <c r="E121">
        <v>2.7387294011778751E-2</v>
      </c>
    </row>
    <row r="122" spans="1:5">
      <c r="A122" t="s">
        <v>125</v>
      </c>
      <c r="B122">
        <v>173.73612787327579</v>
      </c>
      <c r="C122">
        <v>176.0530385023518</v>
      </c>
      <c r="D122">
        <v>-1.234776308006502E-3</v>
      </c>
      <c r="E122">
        <v>-1.234776308006502E-3</v>
      </c>
    </row>
    <row r="123" spans="1:5">
      <c r="A123" t="s">
        <v>126</v>
      </c>
      <c r="B123">
        <v>179.60365892713659</v>
      </c>
      <c r="C123">
        <v>181.99881778950501</v>
      </c>
      <c r="D123">
        <v>3.3772659294793783E-2</v>
      </c>
      <c r="E123">
        <v>3.3772659294793783E-2</v>
      </c>
    </row>
    <row r="124" spans="1:5">
      <c r="A124" t="s">
        <v>127</v>
      </c>
      <c r="B124">
        <v>180.5965699460109</v>
      </c>
      <c r="C124">
        <v>183.00497007328781</v>
      </c>
      <c r="D124">
        <v>5.5283451618157731E-3</v>
      </c>
      <c r="E124">
        <v>5.5283451618157731E-3</v>
      </c>
    </row>
    <row r="125" spans="1:5">
      <c r="A125" t="s">
        <v>128</v>
      </c>
      <c r="B125">
        <v>180.9548790605005</v>
      </c>
      <c r="C125">
        <v>183.36805752723981</v>
      </c>
      <c r="D125">
        <v>1.984030563796146E-3</v>
      </c>
      <c r="E125">
        <v>1.984030563796146E-3</v>
      </c>
    </row>
    <row r="126" spans="1:5">
      <c r="A126" t="s">
        <v>129</v>
      </c>
      <c r="B126">
        <v>186.05604869199911</v>
      </c>
      <c r="C126">
        <v>188.53725534772019</v>
      </c>
      <c r="D126">
        <v>2.8190285103023349E-2</v>
      </c>
      <c r="E126">
        <v>2.8190285103023349E-2</v>
      </c>
    </row>
    <row r="127" spans="1:5">
      <c r="A127" t="s">
        <v>130</v>
      </c>
      <c r="B127">
        <v>179.01401463986019</v>
      </c>
      <c r="C127">
        <v>181.4013101226696</v>
      </c>
      <c r="D127">
        <v>-3.7848992825793459E-2</v>
      </c>
      <c r="E127">
        <v>-3.7848992825793459E-2</v>
      </c>
    </row>
    <row r="128" spans="1:5">
      <c r="A128" t="s">
        <v>131</v>
      </c>
      <c r="B128">
        <v>179.00912988295801</v>
      </c>
      <c r="C128">
        <v>181.3963602236158</v>
      </c>
      <c r="D128">
        <v>-2.728700829346398E-5</v>
      </c>
      <c r="E128">
        <v>-2.728700829346398E-5</v>
      </c>
    </row>
    <row r="129" spans="1:5">
      <c r="A129" t="s">
        <v>132</v>
      </c>
      <c r="B129">
        <v>180.83287914374301</v>
      </c>
      <c r="C129">
        <v>183.244430643729</v>
      </c>
      <c r="D129">
        <v>1.0188023716876099E-2</v>
      </c>
      <c r="E129">
        <v>1.0188023716876099E-2</v>
      </c>
    </row>
    <row r="130" spans="1:5">
      <c r="A130" t="s">
        <v>133</v>
      </c>
      <c r="B130">
        <v>176.95793540129941</v>
      </c>
      <c r="C130">
        <v>179.3178114181614</v>
      </c>
      <c r="D130">
        <v>-2.142831414724888E-2</v>
      </c>
      <c r="E130">
        <v>-2.142831414724888E-2</v>
      </c>
    </row>
    <row r="131" spans="1:5">
      <c r="A131" t="s">
        <v>134</v>
      </c>
      <c r="B131">
        <v>172.33517445911289</v>
      </c>
      <c r="C131">
        <v>174.6334022506247</v>
      </c>
      <c r="D131">
        <v>-2.612350178986356E-2</v>
      </c>
      <c r="E131">
        <v>-2.612350178986356E-2</v>
      </c>
    </row>
    <row r="132" spans="1:5">
      <c r="A132" t="s">
        <v>135</v>
      </c>
      <c r="B132">
        <v>167.085591516368</v>
      </c>
      <c r="C132">
        <v>169.31381190834139</v>
      </c>
      <c r="D132">
        <v>-3.0461471137399169E-2</v>
      </c>
      <c r="E132">
        <v>-3.0461471137399169E-2</v>
      </c>
    </row>
    <row r="133" spans="1:5">
      <c r="A133" t="s">
        <v>136</v>
      </c>
      <c r="B133">
        <v>161.41176187441349</v>
      </c>
      <c r="C133">
        <v>163.56431719680171</v>
      </c>
      <c r="D133">
        <v>-3.3957623697305261E-2</v>
      </c>
      <c r="E133">
        <v>-3.395762369730515E-2</v>
      </c>
    </row>
    <row r="134" spans="1:5">
      <c r="A134" t="s">
        <v>137</v>
      </c>
      <c r="B134">
        <v>168.32980639981679</v>
      </c>
      <c r="C134">
        <v>170.57461939531851</v>
      </c>
      <c r="D134">
        <v>4.285960604770489E-2</v>
      </c>
      <c r="E134">
        <v>4.285960604770489E-2</v>
      </c>
    </row>
    <row r="135" spans="1:5">
      <c r="A135" t="s">
        <v>138</v>
      </c>
      <c r="B135">
        <v>159.36934210157011</v>
      </c>
      <c r="C135">
        <v>161.49466011794331</v>
      </c>
      <c r="D135">
        <v>-5.3231596292363743E-2</v>
      </c>
      <c r="E135">
        <v>-5.3231596292363632E-2</v>
      </c>
    </row>
    <row r="136" spans="1:5">
      <c r="A136" t="s">
        <v>139</v>
      </c>
      <c r="B136">
        <v>162.3041024334895</v>
      </c>
      <c r="C136">
        <v>164.46855783303141</v>
      </c>
      <c r="D136">
        <v>1.8414836211403159E-2</v>
      </c>
      <c r="E136">
        <v>1.8414836211403159E-2</v>
      </c>
    </row>
    <row r="137" spans="1:5">
      <c r="A137" t="s">
        <v>140</v>
      </c>
      <c r="B137">
        <v>162.0811023927545</v>
      </c>
      <c r="C137">
        <v>164.2425839078719</v>
      </c>
      <c r="D137">
        <v>-1.373964289204443E-3</v>
      </c>
      <c r="E137">
        <v>-1.373964289204443E-3</v>
      </c>
    </row>
    <row r="138" spans="1:5">
      <c r="A138" t="s">
        <v>141</v>
      </c>
      <c r="B138">
        <v>161.06221755615491</v>
      </c>
      <c r="C138">
        <v>163.21011142466921</v>
      </c>
      <c r="D138">
        <v>-6.2862654656102857E-3</v>
      </c>
      <c r="E138">
        <v>-6.2862654656103967E-3</v>
      </c>
    </row>
    <row r="139" spans="1:5">
      <c r="A139" t="s">
        <v>142</v>
      </c>
      <c r="B139">
        <v>164.8332561151129</v>
      </c>
      <c r="C139">
        <v>167.031439807781</v>
      </c>
      <c r="D139">
        <v>2.3413551708011179E-2</v>
      </c>
      <c r="E139">
        <v>2.3413551708011179E-2</v>
      </c>
    </row>
    <row r="140" spans="1:5">
      <c r="A140" t="s">
        <v>143</v>
      </c>
      <c r="B140">
        <v>154.57218411782779</v>
      </c>
      <c r="C140">
        <v>156.6335281844076</v>
      </c>
      <c r="D140">
        <v>-6.2251224292500303E-2</v>
      </c>
      <c r="E140">
        <v>-6.2251224292500303E-2</v>
      </c>
    </row>
    <row r="141" spans="1:5">
      <c r="A141" t="s">
        <v>144</v>
      </c>
      <c r="B141">
        <v>139.54598464781549</v>
      </c>
      <c r="C141">
        <v>141.4069422910712</v>
      </c>
      <c r="D141">
        <v>-9.721153618789613E-2</v>
      </c>
      <c r="E141">
        <v>-9.7211536187896019E-2</v>
      </c>
    </row>
    <row r="142" spans="1:5">
      <c r="A142" t="s">
        <v>145</v>
      </c>
      <c r="B142">
        <v>149.65971548987119</v>
      </c>
      <c r="C142">
        <v>151.6555478467194</v>
      </c>
      <c r="D142">
        <v>7.2475971756411406E-2</v>
      </c>
      <c r="E142">
        <v>7.2475971756411406E-2</v>
      </c>
    </row>
    <row r="143" spans="1:5">
      <c r="A143" t="s">
        <v>146</v>
      </c>
      <c r="B143">
        <v>156.33567043627849</v>
      </c>
      <c r="C143">
        <v>158.4205320075101</v>
      </c>
      <c r="D143">
        <v>4.4607561390554551E-2</v>
      </c>
      <c r="E143">
        <v>4.4607561390554551E-2</v>
      </c>
    </row>
    <row r="144" spans="1:5">
      <c r="A144" t="s">
        <v>147</v>
      </c>
      <c r="B144">
        <v>152.02005094603049</v>
      </c>
      <c r="C144">
        <v>154.0473602695493</v>
      </c>
      <c r="D144">
        <v>-2.760482926388241E-2</v>
      </c>
      <c r="E144">
        <v>-2.7604829263882521E-2</v>
      </c>
    </row>
    <row r="145" spans="1:5">
      <c r="A145" t="s">
        <v>148</v>
      </c>
      <c r="B145">
        <v>157.9996868387982</v>
      </c>
      <c r="C145">
        <v>160.10673940356199</v>
      </c>
      <c r="D145">
        <v>3.9334521042165622E-2</v>
      </c>
      <c r="E145">
        <v>3.9334521042165622E-2</v>
      </c>
    </row>
    <row r="146" spans="1:5">
      <c r="A146" t="s">
        <v>149</v>
      </c>
      <c r="B146">
        <v>159.8708393742678</v>
      </c>
      <c r="C146">
        <v>162.00284525905269</v>
      </c>
      <c r="D146">
        <v>1.18427610390055E-2</v>
      </c>
      <c r="E146">
        <v>1.18427610390055E-2</v>
      </c>
    </row>
    <row r="147" spans="1:5">
      <c r="A147" t="s">
        <v>150</v>
      </c>
      <c r="B147">
        <v>160.26777705462689</v>
      </c>
      <c r="C147">
        <v>162.40507642178619</v>
      </c>
      <c r="D147">
        <v>2.4828648045678299E-3</v>
      </c>
      <c r="E147">
        <v>2.4828648045678299E-3</v>
      </c>
    </row>
    <row r="148" spans="1:5">
      <c r="A148" t="s">
        <v>151</v>
      </c>
      <c r="B148">
        <v>161.840777679063</v>
      </c>
      <c r="C148">
        <v>163.99905427134479</v>
      </c>
      <c r="D148">
        <v>9.8148277423222297E-3</v>
      </c>
      <c r="E148">
        <v>9.8148277423222297E-3</v>
      </c>
    </row>
    <row r="149" spans="1:5">
      <c r="A149" t="s">
        <v>152</v>
      </c>
      <c r="B149">
        <v>160.51497613519879</v>
      </c>
      <c r="C149">
        <v>162.65557210039029</v>
      </c>
      <c r="D149">
        <v>-8.1920116974062429E-3</v>
      </c>
      <c r="E149">
        <v>-8.1920116974062429E-3</v>
      </c>
    </row>
    <row r="150" spans="1:5">
      <c r="A150" t="s">
        <v>153</v>
      </c>
      <c r="B150">
        <v>165.15983085578159</v>
      </c>
      <c r="C150">
        <v>167.36236968458121</v>
      </c>
      <c r="D150">
        <v>2.8937204692168979E-2</v>
      </c>
      <c r="E150">
        <v>2.8937204692168979E-2</v>
      </c>
    </row>
    <row r="151" spans="1:5">
      <c r="A151" t="s">
        <v>154</v>
      </c>
      <c r="B151">
        <v>166.1833757046096</v>
      </c>
      <c r="C151">
        <v>168.39956432501339</v>
      </c>
      <c r="D151">
        <v>6.1972989650356247E-3</v>
      </c>
      <c r="E151">
        <v>6.1972989650356247E-3</v>
      </c>
    </row>
    <row r="152" spans="1:5">
      <c r="A152" t="s">
        <v>155</v>
      </c>
      <c r="B152">
        <v>166.10234427241991</v>
      </c>
      <c r="C152">
        <v>168.31745227367529</v>
      </c>
      <c r="D152">
        <v>-4.8760251647406161E-4</v>
      </c>
      <c r="E152">
        <v>-4.8760251647406161E-4</v>
      </c>
    </row>
    <row r="153" spans="1:5">
      <c r="A153" t="s">
        <v>156</v>
      </c>
      <c r="B153">
        <v>163.43997686589819</v>
      </c>
      <c r="C153">
        <v>165.61958006214741</v>
      </c>
      <c r="D153">
        <v>-1.6028475806188821E-2</v>
      </c>
      <c r="E153">
        <v>-1.602847580618871E-2</v>
      </c>
    </row>
    <row r="154" spans="1:5">
      <c r="A154" t="s">
        <v>157</v>
      </c>
      <c r="B154">
        <v>162.2057562409274</v>
      </c>
      <c r="C154">
        <v>164.36890011510229</v>
      </c>
      <c r="D154">
        <v>-7.5515222691414641E-3</v>
      </c>
      <c r="E154">
        <v>-7.551522269141353E-3</v>
      </c>
    </row>
    <row r="155" spans="1:5">
      <c r="A155" t="s">
        <v>158</v>
      </c>
      <c r="B155">
        <v>161.9107143089075</v>
      </c>
      <c r="C155">
        <v>164.0699235622485</v>
      </c>
      <c r="D155">
        <v>-1.8189362625433689E-3</v>
      </c>
      <c r="E155">
        <v>-1.818936262543591E-3</v>
      </c>
    </row>
    <row r="156" spans="1:5">
      <c r="A156" t="s">
        <v>159</v>
      </c>
      <c r="B156">
        <v>162.12217005794969</v>
      </c>
      <c r="C156">
        <v>164.28419924332519</v>
      </c>
      <c r="D156">
        <v>1.3060021996988971E-3</v>
      </c>
      <c r="E156">
        <v>1.3060021996988971E-3</v>
      </c>
    </row>
    <row r="157" spans="1:5">
      <c r="A157" t="s">
        <v>160</v>
      </c>
      <c r="B157">
        <v>160.8043632500013</v>
      </c>
      <c r="C157">
        <v>162.948818424503</v>
      </c>
      <c r="D157">
        <v>-8.1284799449538037E-3</v>
      </c>
      <c r="E157">
        <v>-8.1284799449539147E-3</v>
      </c>
    </row>
    <row r="158" spans="1:5">
      <c r="A158" t="s">
        <v>161</v>
      </c>
      <c r="B158">
        <v>164.29090936364301</v>
      </c>
      <c r="C158">
        <v>166.48186042733229</v>
      </c>
      <c r="D158">
        <v>2.1681912375855369E-2</v>
      </c>
      <c r="E158">
        <v>2.1681912375855369E-2</v>
      </c>
    </row>
    <row r="159" spans="1:5">
      <c r="A159" t="s">
        <v>162</v>
      </c>
      <c r="B159">
        <v>161.5976932950779</v>
      </c>
      <c r="C159">
        <v>163.7527281621071</v>
      </c>
      <c r="D159">
        <v>-1.6392970730984779E-2</v>
      </c>
      <c r="E159">
        <v>-1.639297073098489E-2</v>
      </c>
    </row>
    <row r="160" spans="1:5">
      <c r="A160" t="s">
        <v>163</v>
      </c>
      <c r="B160">
        <v>161.656855693545</v>
      </c>
      <c r="C160">
        <v>163.8126795386153</v>
      </c>
      <c r="D160">
        <v>3.6610917681234589E-4</v>
      </c>
      <c r="E160">
        <v>3.6610917681234589E-4</v>
      </c>
    </row>
    <row r="161" spans="1:5">
      <c r="A161" t="s">
        <v>164</v>
      </c>
      <c r="B161">
        <v>161.99407574721141</v>
      </c>
      <c r="C161">
        <v>164.1543966922012</v>
      </c>
      <c r="D161">
        <v>2.0860238325164371E-3</v>
      </c>
      <c r="E161">
        <v>2.0860238325164371E-3</v>
      </c>
    </row>
    <row r="162" spans="1:5">
      <c r="A162" t="s">
        <v>165</v>
      </c>
      <c r="B162">
        <v>160.9427823027695</v>
      </c>
      <c r="C162">
        <v>163.0890834063739</v>
      </c>
      <c r="D162">
        <v>-6.489703031377414E-3</v>
      </c>
      <c r="E162">
        <v>-6.489703031377414E-3</v>
      </c>
    </row>
    <row r="163" spans="1:5">
      <c r="A163" t="s">
        <v>166</v>
      </c>
      <c r="B163">
        <v>152.3946800159035</v>
      </c>
      <c r="C163">
        <v>154.4269853185809</v>
      </c>
      <c r="D163">
        <v>-5.3112678708294607E-2</v>
      </c>
      <c r="E163">
        <v>-5.3112678708294607E-2</v>
      </c>
    </row>
    <row r="164" spans="1:5">
      <c r="A164" t="s">
        <v>167</v>
      </c>
      <c r="B164">
        <v>153.7232511426453</v>
      </c>
      <c r="C164">
        <v>155.7732740070222</v>
      </c>
      <c r="D164">
        <v>8.7179626388738107E-3</v>
      </c>
      <c r="E164">
        <v>8.7179626388738107E-3</v>
      </c>
    </row>
    <row r="165" spans="1:5">
      <c r="A165" t="s">
        <v>168</v>
      </c>
      <c r="B165">
        <v>156.45943521834039</v>
      </c>
      <c r="C165">
        <v>158.54594729221969</v>
      </c>
      <c r="D165">
        <v>1.7799415868170469E-2</v>
      </c>
      <c r="E165">
        <v>1.7799415868170469E-2</v>
      </c>
    </row>
    <row r="166" spans="1:5">
      <c r="A166" t="s">
        <v>169</v>
      </c>
      <c r="B166">
        <v>153.01661725955989</v>
      </c>
      <c r="C166">
        <v>155.05721659427371</v>
      </c>
      <c r="D166">
        <v>-2.200454037160526E-2</v>
      </c>
      <c r="E166">
        <v>-2.2004540371605149E-2</v>
      </c>
    </row>
    <row r="167" spans="1:5">
      <c r="A167" t="s">
        <v>170</v>
      </c>
      <c r="B167">
        <v>153.7283606442212</v>
      </c>
      <c r="C167">
        <v>155.77845164790031</v>
      </c>
      <c r="D167">
        <v>4.6514123590510881E-3</v>
      </c>
      <c r="E167">
        <v>4.6514123590510881E-3</v>
      </c>
    </row>
    <row r="168" spans="1:5">
      <c r="A168" t="s">
        <v>171</v>
      </c>
      <c r="B168">
        <v>153.15936584100459</v>
      </c>
      <c r="C168">
        <v>155.20186884255889</v>
      </c>
      <c r="D168">
        <v>-3.7013001428761738E-3</v>
      </c>
      <c r="E168">
        <v>-3.7013001428760628E-3</v>
      </c>
    </row>
    <row r="169" spans="1:5">
      <c r="A169" t="s">
        <v>172</v>
      </c>
      <c r="B169">
        <v>159.81322700901549</v>
      </c>
      <c r="C169">
        <v>162.53253821153729</v>
      </c>
      <c r="D169">
        <v>4.3444037075200947E-2</v>
      </c>
      <c r="E169">
        <v>4.7233125629529527E-2</v>
      </c>
    </row>
    <row r="170" spans="1:5">
      <c r="A170" t="s">
        <v>173</v>
      </c>
      <c r="B170">
        <v>160.45481672589321</v>
      </c>
      <c r="C170">
        <v>163.18504493533101</v>
      </c>
      <c r="D170">
        <v>4.0146221241215141E-3</v>
      </c>
      <c r="E170">
        <v>4.0146221241215141E-3</v>
      </c>
    </row>
    <row r="171" spans="1:5">
      <c r="A171" t="s">
        <v>174</v>
      </c>
      <c r="B171">
        <v>160.8800523673786</v>
      </c>
      <c r="C171">
        <v>163.61751619845569</v>
      </c>
      <c r="D171">
        <v>2.6501893191019921E-3</v>
      </c>
      <c r="E171">
        <v>2.6501893191019921E-3</v>
      </c>
    </row>
    <row r="172" spans="1:5">
      <c r="A172" t="s">
        <v>175</v>
      </c>
      <c r="B172">
        <v>159.25958344869079</v>
      </c>
      <c r="C172">
        <v>161.96947409720721</v>
      </c>
      <c r="D172">
        <v>-1.0072528538139889E-2</v>
      </c>
      <c r="E172">
        <v>-1.0072528538139889E-2</v>
      </c>
    </row>
    <row r="173" spans="1:5">
      <c r="A173" t="s">
        <v>176</v>
      </c>
      <c r="B173">
        <v>162.33475437802579</v>
      </c>
      <c r="C173">
        <v>165.09697077525729</v>
      </c>
      <c r="D173">
        <v>1.9309173506194321E-2</v>
      </c>
      <c r="E173">
        <v>1.9309173506194321E-2</v>
      </c>
    </row>
    <row r="174" spans="1:5">
      <c r="A174" t="s">
        <v>177</v>
      </c>
      <c r="B174">
        <v>164.30092134626329</v>
      </c>
      <c r="C174">
        <v>167.09659317120139</v>
      </c>
      <c r="D174">
        <v>1.211180548349478E-2</v>
      </c>
      <c r="E174">
        <v>1.211180548349478E-2</v>
      </c>
    </row>
    <row r="175" spans="1:5">
      <c r="A175" t="s">
        <v>178</v>
      </c>
      <c r="B175">
        <v>165.28260340294591</v>
      </c>
      <c r="C175">
        <v>168.0949790956677</v>
      </c>
      <c r="D175">
        <v>5.97490293200309E-3</v>
      </c>
      <c r="E175">
        <v>5.97490293200309E-3</v>
      </c>
    </row>
    <row r="176" spans="1:5">
      <c r="A176" t="s">
        <v>179</v>
      </c>
      <c r="B176">
        <v>167.39289965956269</v>
      </c>
      <c r="C176">
        <v>170.2411832202292</v>
      </c>
      <c r="D176">
        <v>1.276780624922802E-2</v>
      </c>
      <c r="E176">
        <v>1.276780624922802E-2</v>
      </c>
    </row>
    <row r="177" spans="1:5">
      <c r="A177" t="s">
        <v>180</v>
      </c>
      <c r="B177">
        <v>170.68169944451171</v>
      </c>
      <c r="C177">
        <v>173.58594376803529</v>
      </c>
      <c r="D177">
        <v>1.9647188092432041E-2</v>
      </c>
      <c r="E177">
        <v>1.9647188092432041E-2</v>
      </c>
    </row>
    <row r="178" spans="1:5">
      <c r="A178" t="s">
        <v>181</v>
      </c>
      <c r="B178">
        <v>172.59603264970289</v>
      </c>
      <c r="C178">
        <v>175.53285042054151</v>
      </c>
      <c r="D178">
        <v>1.121580820569168E-2</v>
      </c>
      <c r="E178">
        <v>1.121580820569168E-2</v>
      </c>
    </row>
    <row r="179" spans="1:5">
      <c r="A179" t="s">
        <v>182</v>
      </c>
      <c r="B179">
        <v>170.44962399957959</v>
      </c>
      <c r="C179">
        <v>173.3499194299543</v>
      </c>
      <c r="D179">
        <v>-1.2436025424058309E-2</v>
      </c>
      <c r="E179">
        <v>-1.2436025424058189E-2</v>
      </c>
    </row>
    <row r="180" spans="1:5">
      <c r="A180" t="s">
        <v>183</v>
      </c>
      <c r="B180">
        <v>163.214718654346</v>
      </c>
      <c r="C180">
        <v>165.99190813458949</v>
      </c>
      <c r="D180">
        <v>-4.244600354912742E-2</v>
      </c>
      <c r="E180">
        <v>-4.2446003549127531E-2</v>
      </c>
    </row>
    <row r="181" spans="1:5">
      <c r="A181" t="s">
        <v>184</v>
      </c>
      <c r="B181">
        <v>165.65312479141829</v>
      </c>
      <c r="C181">
        <v>168.47180511224451</v>
      </c>
      <c r="D181">
        <v>1.4939866680996779E-2</v>
      </c>
      <c r="E181">
        <v>1.4939866680996779E-2</v>
      </c>
    </row>
    <row r="182" spans="1:5">
      <c r="A182" t="s">
        <v>185</v>
      </c>
      <c r="B182">
        <v>167.08549134345051</v>
      </c>
      <c r="C182">
        <v>169.9285441801438</v>
      </c>
      <c r="D182">
        <v>8.6467825695151213E-3</v>
      </c>
      <c r="E182">
        <v>8.6467825695151213E-3</v>
      </c>
    </row>
    <row r="183" spans="1:5">
      <c r="A183" t="s">
        <v>186</v>
      </c>
      <c r="B183">
        <v>171.5850905049534</v>
      </c>
      <c r="C183">
        <v>174.50470653128841</v>
      </c>
      <c r="D183">
        <v>2.6929921475072231E-2</v>
      </c>
      <c r="E183">
        <v>2.6929921475072231E-2</v>
      </c>
    </row>
    <row r="184" spans="1:5">
      <c r="A184" t="s">
        <v>187</v>
      </c>
      <c r="B184">
        <v>171.82697106930399</v>
      </c>
      <c r="C184">
        <v>174.7507028283641</v>
      </c>
      <c r="D184">
        <v>1.4096828788487949E-3</v>
      </c>
      <c r="E184">
        <v>1.4096828788487949E-3</v>
      </c>
    </row>
    <row r="185" spans="1:5">
      <c r="A185" t="s">
        <v>188</v>
      </c>
      <c r="B185">
        <v>173.83142777097899</v>
      </c>
      <c r="C185">
        <v>176.78926647891839</v>
      </c>
      <c r="D185">
        <v>1.166555337151687E-2</v>
      </c>
      <c r="E185">
        <v>1.166555337151687E-2</v>
      </c>
    </row>
    <row r="186" spans="1:5">
      <c r="A186" t="s">
        <v>189</v>
      </c>
      <c r="B186">
        <v>178.00680592132329</v>
      </c>
      <c r="C186">
        <v>181.0356910175467</v>
      </c>
      <c r="D186">
        <v>2.4019696575496852E-2</v>
      </c>
      <c r="E186">
        <v>2.4019696575496852E-2</v>
      </c>
    </row>
    <row r="187" spans="1:5">
      <c r="A187" t="s">
        <v>190</v>
      </c>
      <c r="B187">
        <v>177.84415240853181</v>
      </c>
      <c r="C187">
        <v>180.8702698645057</v>
      </c>
      <c r="D187">
        <v>-9.1374884207207074E-4</v>
      </c>
      <c r="E187">
        <v>-9.1374884207218177E-4</v>
      </c>
    </row>
    <row r="188" spans="1:5">
      <c r="A188" t="s">
        <v>191</v>
      </c>
      <c r="B188">
        <v>182.16646801320979</v>
      </c>
      <c r="C188">
        <v>185.26613208021601</v>
      </c>
      <c r="D188">
        <v>2.4303951218756389E-2</v>
      </c>
      <c r="E188">
        <v>2.4303951218756389E-2</v>
      </c>
    </row>
    <row r="189" spans="1:5">
      <c r="A189" t="s">
        <v>192</v>
      </c>
      <c r="B189">
        <v>178.17335361449389</v>
      </c>
      <c r="C189">
        <v>181.20507261261801</v>
      </c>
      <c r="D189">
        <v>-2.1920139541962261E-2</v>
      </c>
      <c r="E189">
        <v>-2.1920139541962261E-2</v>
      </c>
    </row>
    <row r="190" spans="1:5">
      <c r="A190" t="s">
        <v>193</v>
      </c>
      <c r="B190">
        <v>176.9909612168648</v>
      </c>
      <c r="C190">
        <v>180.0025611487963</v>
      </c>
      <c r="D190">
        <v>-6.636190954722343E-3</v>
      </c>
      <c r="E190">
        <v>-6.636190954722454E-3</v>
      </c>
    </row>
    <row r="191" spans="1:5">
      <c r="A191" t="s">
        <v>194</v>
      </c>
      <c r="B191">
        <v>184.4226103986538</v>
      </c>
      <c r="C191">
        <v>187.56066398684069</v>
      </c>
      <c r="D191">
        <v>4.1988862768438828E-2</v>
      </c>
      <c r="E191">
        <v>4.1988862768438828E-2</v>
      </c>
    </row>
    <row r="192" spans="1:5">
      <c r="A192" t="s">
        <v>195</v>
      </c>
      <c r="B192">
        <v>184.82924418063271</v>
      </c>
      <c r="C192">
        <v>187.97421686944321</v>
      </c>
      <c r="D192">
        <v>2.204901997102882E-3</v>
      </c>
      <c r="E192">
        <v>2.204901997102882E-3</v>
      </c>
    </row>
    <row r="193" spans="1:5">
      <c r="A193" t="s">
        <v>196</v>
      </c>
      <c r="B193">
        <v>183.62724154416691</v>
      </c>
      <c r="C193">
        <v>186.75176148763219</v>
      </c>
      <c r="D193">
        <v>-6.503314136215077E-3</v>
      </c>
      <c r="E193">
        <v>-6.503314136215077E-3</v>
      </c>
    </row>
    <row r="194" spans="1:5">
      <c r="A194" t="s">
        <v>197</v>
      </c>
      <c r="B194">
        <v>181.40440869735701</v>
      </c>
      <c r="C194">
        <v>184.49110590002169</v>
      </c>
      <c r="D194">
        <v>-1.210513662416068E-2</v>
      </c>
      <c r="E194">
        <v>-1.2105136624160569E-2</v>
      </c>
    </row>
    <row r="195" spans="1:5">
      <c r="A195" t="s">
        <v>198</v>
      </c>
      <c r="B195">
        <v>180.80181186395239</v>
      </c>
      <c r="C195">
        <v>183.87825554536391</v>
      </c>
      <c r="D195">
        <v>-3.3218422734695441E-3</v>
      </c>
      <c r="E195">
        <v>-3.3218422734694331E-3</v>
      </c>
    </row>
    <row r="196" spans="1:5">
      <c r="A196" t="s">
        <v>199</v>
      </c>
      <c r="B196">
        <v>182.2586912145305</v>
      </c>
      <c r="C196">
        <v>185.35992451074989</v>
      </c>
      <c r="D196">
        <v>8.057880258824035E-3</v>
      </c>
      <c r="E196">
        <v>8.057880258824035E-3</v>
      </c>
    </row>
    <row r="197" spans="1:5">
      <c r="A197" t="s">
        <v>200</v>
      </c>
      <c r="B197">
        <v>180.1799100210057</v>
      </c>
      <c r="C197">
        <v>183.24577169565819</v>
      </c>
      <c r="D197">
        <v>-1.1405662905139219E-2</v>
      </c>
      <c r="E197">
        <v>-1.140566290513945E-2</v>
      </c>
    </row>
    <row r="198" spans="1:5">
      <c r="A198" t="s">
        <v>201</v>
      </c>
      <c r="B198">
        <v>178.00789724682991</v>
      </c>
      <c r="C198">
        <v>181.0368009125655</v>
      </c>
      <c r="D198">
        <v>-1.205468897127648E-2</v>
      </c>
      <c r="E198">
        <v>-1.205468897127648E-2</v>
      </c>
    </row>
    <row r="199" spans="1:5">
      <c r="A199" t="s">
        <v>202</v>
      </c>
      <c r="B199">
        <v>176.62463923806601</v>
      </c>
      <c r="C199">
        <v>179.6300059971912</v>
      </c>
      <c r="D199">
        <v>-7.7707676465942344E-3</v>
      </c>
      <c r="E199">
        <v>-7.7707676465942344E-3</v>
      </c>
    </row>
    <row r="200" spans="1:5">
      <c r="A200" t="s">
        <v>203</v>
      </c>
      <c r="B200">
        <v>175.63221600664679</v>
      </c>
      <c r="C200">
        <v>178.6206961309087</v>
      </c>
      <c r="D200">
        <v>-5.6188266580490254E-3</v>
      </c>
      <c r="E200">
        <v>-5.6188266580491364E-3</v>
      </c>
    </row>
    <row r="201" spans="1:5">
      <c r="A201" t="s">
        <v>204</v>
      </c>
      <c r="B201">
        <v>178.3086914738671</v>
      </c>
      <c r="C201">
        <v>181.3427133211608</v>
      </c>
      <c r="D201">
        <v>1.523909182537975E-2</v>
      </c>
      <c r="E201">
        <v>1.523909182537975E-2</v>
      </c>
    </row>
    <row r="202" spans="1:5">
      <c r="A202" t="s">
        <v>205</v>
      </c>
      <c r="B202">
        <v>179.7154539018467</v>
      </c>
      <c r="C202">
        <v>182.77341259655469</v>
      </c>
      <c r="D202">
        <v>7.889477603988837E-3</v>
      </c>
      <c r="E202">
        <v>7.889477603988837E-3</v>
      </c>
    </row>
    <row r="203" spans="1:5">
      <c r="A203" t="s">
        <v>206</v>
      </c>
      <c r="B203">
        <v>181.256462863693</v>
      </c>
      <c r="C203">
        <v>184.34064268547269</v>
      </c>
      <c r="D203">
        <v>8.5747159100071357E-3</v>
      </c>
      <c r="E203">
        <v>8.5747159100071357E-3</v>
      </c>
    </row>
    <row r="204" spans="1:5">
      <c r="A204" t="s">
        <v>207</v>
      </c>
      <c r="B204">
        <v>182.2488860951122</v>
      </c>
      <c r="C204">
        <v>185.34995255175519</v>
      </c>
      <c r="D204">
        <v>5.4752432864446643E-3</v>
      </c>
      <c r="E204">
        <v>5.4752432864446643E-3</v>
      </c>
    </row>
    <row r="205" spans="1:5">
      <c r="A205" t="s">
        <v>208</v>
      </c>
      <c r="B205">
        <v>185.7344297166166</v>
      </c>
      <c r="C205">
        <v>188.89480464224081</v>
      </c>
      <c r="D205">
        <v>1.912518477443759E-2</v>
      </c>
      <c r="E205">
        <v>1.912518477443759E-2</v>
      </c>
    </row>
    <row r="206" spans="1:5">
      <c r="A206" t="s">
        <v>209</v>
      </c>
      <c r="B206">
        <v>185.29168354113119</v>
      </c>
      <c r="C206">
        <v>188.44452489361251</v>
      </c>
      <c r="D206">
        <v>-2.3837593070974439E-3</v>
      </c>
      <c r="E206">
        <v>-2.3837593070974439E-3</v>
      </c>
    </row>
    <row r="207" spans="1:5">
      <c r="A207" t="s">
        <v>210</v>
      </c>
      <c r="B207">
        <v>179.4998806115843</v>
      </c>
      <c r="C207">
        <v>182.55417120651009</v>
      </c>
      <c r="D207">
        <v>-3.1257759759418913E-2</v>
      </c>
      <c r="E207">
        <v>-3.1257759759418802E-2</v>
      </c>
    </row>
    <row r="208" spans="1:5">
      <c r="A208" t="s">
        <v>211</v>
      </c>
      <c r="B208">
        <v>177.27704776477441</v>
      </c>
      <c r="C208">
        <v>180.29351561889959</v>
      </c>
      <c r="D208">
        <v>-1.238347813511831E-2</v>
      </c>
      <c r="E208">
        <v>-1.2383478135118199E-2</v>
      </c>
    </row>
    <row r="209" spans="1:5">
      <c r="A209" t="s">
        <v>212</v>
      </c>
      <c r="B209">
        <v>176.87531654250469</v>
      </c>
      <c r="C209">
        <v>179.88494871579451</v>
      </c>
      <c r="D209">
        <v>-2.266120895710988E-3</v>
      </c>
      <c r="E209">
        <v>-2.266120895711099E-3</v>
      </c>
    </row>
    <row r="210" spans="1:5">
      <c r="A210" t="s">
        <v>213</v>
      </c>
      <c r="B210">
        <v>176.83321026378241</v>
      </c>
      <c r="C210">
        <v>179.8421259752526</v>
      </c>
      <c r="D210">
        <v>-2.3805627345474531E-4</v>
      </c>
      <c r="E210">
        <v>-2.3805627345463429E-4</v>
      </c>
    </row>
    <row r="211" spans="1:5">
      <c r="A211" t="s">
        <v>214</v>
      </c>
      <c r="B211">
        <v>174.78073634434571</v>
      </c>
      <c r="C211">
        <v>177.75472806719199</v>
      </c>
      <c r="D211">
        <v>-1.1606835143551651E-2</v>
      </c>
      <c r="E211">
        <v>-1.1606835143551651E-2</v>
      </c>
    </row>
    <row r="212" spans="1:5">
      <c r="A212" t="s">
        <v>215</v>
      </c>
      <c r="B212">
        <v>177.42000809255291</v>
      </c>
      <c r="C212">
        <v>180.43890849639959</v>
      </c>
      <c r="D212">
        <v>1.51004727603814E-2</v>
      </c>
      <c r="E212">
        <v>1.51004727603814E-2</v>
      </c>
    </row>
    <row r="213" spans="1:5">
      <c r="A213" t="s">
        <v>216</v>
      </c>
      <c r="B213">
        <v>175.35002363911619</v>
      </c>
      <c r="C213">
        <v>178.3337021028355</v>
      </c>
      <c r="D213">
        <v>-1.1667142143048981E-2</v>
      </c>
      <c r="E213">
        <v>-1.166714214304887E-2</v>
      </c>
    </row>
    <row r="214" spans="1:5">
      <c r="A214" t="s">
        <v>217</v>
      </c>
      <c r="B214">
        <v>172.82149400556</v>
      </c>
      <c r="C214">
        <v>175.76214812713241</v>
      </c>
      <c r="D214">
        <v>-1.4419899017294241E-2</v>
      </c>
      <c r="E214">
        <v>-1.4419899017294459E-2</v>
      </c>
    </row>
    <row r="215" spans="1:5">
      <c r="A215" t="s">
        <v>218</v>
      </c>
      <c r="B215">
        <v>177.59736928447211</v>
      </c>
      <c r="C215">
        <v>180.6192875879326</v>
      </c>
      <c r="D215">
        <v>2.7634729733087889E-2</v>
      </c>
      <c r="E215">
        <v>2.7634729733087889E-2</v>
      </c>
    </row>
    <row r="216" spans="1:5">
      <c r="A216" t="s">
        <v>219</v>
      </c>
      <c r="B216">
        <v>176.46198572527439</v>
      </c>
      <c r="C216">
        <v>179.4645848441501</v>
      </c>
      <c r="D216">
        <v>-6.3930201431026124E-3</v>
      </c>
      <c r="E216">
        <v>-6.3930201431027234E-3</v>
      </c>
    </row>
    <row r="217" spans="1:5">
      <c r="A217" t="s">
        <v>220</v>
      </c>
      <c r="B217">
        <v>172.95083797971739</v>
      </c>
      <c r="C217">
        <v>175.8936929611591</v>
      </c>
      <c r="D217">
        <v>-1.9897473844725511E-2</v>
      </c>
      <c r="E217">
        <v>-1.9897473844725511E-2</v>
      </c>
    </row>
    <row r="218" spans="1:5">
      <c r="A218" t="s">
        <v>221</v>
      </c>
      <c r="B218">
        <v>170.7837277652508</v>
      </c>
      <c r="C218">
        <v>173.68970815756381</v>
      </c>
      <c r="D218">
        <v>-1.253020939234051E-2</v>
      </c>
      <c r="E218">
        <v>-1.253020939234051E-2</v>
      </c>
    </row>
    <row r="219" spans="1:5">
      <c r="A219" t="s">
        <v>222</v>
      </c>
      <c r="B219">
        <v>171.47535676963281</v>
      </c>
      <c r="C219">
        <v>174.3931056152509</v>
      </c>
      <c r="D219">
        <v>4.0497359639124486E-3</v>
      </c>
      <c r="E219">
        <v>4.0497359639124486E-3</v>
      </c>
    </row>
    <row r="220" spans="1:5">
      <c r="A220" t="s">
        <v>223</v>
      </c>
      <c r="B220">
        <v>170.1704673922039</v>
      </c>
      <c r="C220">
        <v>173.06601281718841</v>
      </c>
      <c r="D220">
        <v>-7.6097778830223062E-3</v>
      </c>
      <c r="E220">
        <v>-7.6097778830224172E-3</v>
      </c>
    </row>
    <row r="221" spans="1:5">
      <c r="A221" t="s">
        <v>224</v>
      </c>
      <c r="B221">
        <v>176.3374613646499</v>
      </c>
      <c r="C221">
        <v>179.337941632069</v>
      </c>
      <c r="D221">
        <v>3.6240095399353363E-2</v>
      </c>
      <c r="E221">
        <v>3.6240095399353363E-2</v>
      </c>
    </row>
    <row r="222" spans="1:5">
      <c r="A222" t="s">
        <v>225</v>
      </c>
      <c r="B222">
        <v>179.31854229311</v>
      </c>
      <c r="C222">
        <v>182.3697473153951</v>
      </c>
      <c r="D222">
        <v>1.6905545227825721E-2</v>
      </c>
      <c r="E222">
        <v>1.6905545227825721E-2</v>
      </c>
    </row>
    <row r="223" spans="1:5">
      <c r="A223" t="s">
        <v>226</v>
      </c>
      <c r="B223">
        <v>181.8803814653003</v>
      </c>
      <c r="C223">
        <v>184.97517761011261</v>
      </c>
      <c r="D223">
        <v>1.428652686682463E-2</v>
      </c>
      <c r="E223">
        <v>1.428652686682463E-2</v>
      </c>
    </row>
    <row r="224" spans="1:5">
      <c r="A224" t="s">
        <v>227</v>
      </c>
      <c r="B224">
        <v>182.49558627299569</v>
      </c>
      <c r="C224">
        <v>185.60085047077649</v>
      </c>
      <c r="D224">
        <v>3.3824693061397242E-3</v>
      </c>
      <c r="E224">
        <v>3.3824693061397242E-3</v>
      </c>
    </row>
    <row r="225" spans="1:5">
      <c r="A225" t="s">
        <v>228</v>
      </c>
      <c r="B225">
        <v>180.79682635806699</v>
      </c>
      <c r="C225">
        <v>183.87318520831479</v>
      </c>
      <c r="D225">
        <v>-9.3084986306875006E-3</v>
      </c>
      <c r="E225">
        <v>-9.3084986306876116E-3</v>
      </c>
    </row>
    <row r="226" spans="1:5">
      <c r="A226" t="s">
        <v>229</v>
      </c>
      <c r="B226">
        <v>182.18988948624931</v>
      </c>
      <c r="C226">
        <v>185.28995208268381</v>
      </c>
      <c r="D226">
        <v>7.7051304286912536E-3</v>
      </c>
      <c r="E226">
        <v>7.7051304286912536E-3</v>
      </c>
    </row>
    <row r="227" spans="1:5">
      <c r="A227" t="s">
        <v>230</v>
      </c>
      <c r="B227">
        <v>180.7263131004199</v>
      </c>
      <c r="C227">
        <v>183.80147212825611</v>
      </c>
      <c r="D227">
        <v>-8.0332470147301827E-3</v>
      </c>
      <c r="E227">
        <v>-8.0332470147302937E-3</v>
      </c>
    </row>
    <row r="228" spans="1:5">
      <c r="A228" t="s">
        <v>231</v>
      </c>
      <c r="B228">
        <v>177.5972863382959</v>
      </c>
      <c r="C228">
        <v>180.61920323038089</v>
      </c>
      <c r="D228">
        <v>-1.7313620293827329E-2</v>
      </c>
      <c r="E228">
        <v>-1.7313620293827329E-2</v>
      </c>
    </row>
    <row r="229" spans="1:5">
      <c r="A229" t="s">
        <v>232</v>
      </c>
      <c r="B229">
        <v>179.99257781731569</v>
      </c>
      <c r="C229">
        <v>183.64501743415931</v>
      </c>
      <c r="D229">
        <v>1.348720765055611E-2</v>
      </c>
      <c r="E229">
        <v>1.6752450180609561E-2</v>
      </c>
    </row>
    <row r="230" spans="1:5">
      <c r="A230" t="s">
        <v>233</v>
      </c>
      <c r="B230">
        <v>180.82329694859149</v>
      </c>
      <c r="C230">
        <v>184.49259365755699</v>
      </c>
      <c r="D230">
        <v>4.6152965936121504E-3</v>
      </c>
      <c r="E230">
        <v>4.6152965936121504E-3</v>
      </c>
    </row>
    <row r="231" spans="1:5">
      <c r="A231" t="s">
        <v>234</v>
      </c>
      <c r="B231">
        <v>183.16015633883961</v>
      </c>
      <c r="C231">
        <v>186.8768729910019</v>
      </c>
      <c r="D231">
        <v>1.2923441999359801E-2</v>
      </c>
      <c r="E231">
        <v>1.2923441999359801E-2</v>
      </c>
    </row>
    <row r="232" spans="1:5">
      <c r="A232" t="s">
        <v>235</v>
      </c>
      <c r="B232">
        <v>182.1337846983067</v>
      </c>
      <c r="C232">
        <v>185.82967404477151</v>
      </c>
      <c r="D232">
        <v>-5.6036840164850332E-3</v>
      </c>
      <c r="E232">
        <v>-5.6036840164849222E-3</v>
      </c>
    </row>
    <row r="233" spans="1:5">
      <c r="A233" t="s">
        <v>236</v>
      </c>
      <c r="B233">
        <v>183.65461247053881</v>
      </c>
      <c r="C233">
        <v>187.381362709564</v>
      </c>
      <c r="D233">
        <v>8.3500585833169438E-3</v>
      </c>
      <c r="E233">
        <v>8.3500585833169438E-3</v>
      </c>
    </row>
    <row r="234" spans="1:5">
      <c r="A234" t="s">
        <v>237</v>
      </c>
      <c r="B234">
        <v>181.21265077310571</v>
      </c>
      <c r="C234">
        <v>184.88984831526599</v>
      </c>
      <c r="D234">
        <v>-1.32964898870962E-2</v>
      </c>
      <c r="E234">
        <v>-1.3296489887096309E-2</v>
      </c>
    </row>
    <row r="235" spans="1:5">
      <c r="A235" t="s">
        <v>238</v>
      </c>
      <c r="B235">
        <v>175.88136432300979</v>
      </c>
      <c r="C235">
        <v>179.45037850519381</v>
      </c>
      <c r="D235">
        <v>-2.942005664257474E-2</v>
      </c>
      <c r="E235">
        <v>-2.942005664257474E-2</v>
      </c>
    </row>
    <row r="236" spans="1:5">
      <c r="A236" t="s">
        <v>239</v>
      </c>
      <c r="B236">
        <v>182.92023817758309</v>
      </c>
      <c r="C236">
        <v>186.63208637012559</v>
      </c>
      <c r="D236">
        <v>4.0020577971218392E-2</v>
      </c>
      <c r="E236">
        <v>4.0020577971218392E-2</v>
      </c>
    </row>
    <row r="237" spans="1:5">
      <c r="A237" t="s">
        <v>240</v>
      </c>
      <c r="B237">
        <v>182.87698416420079</v>
      </c>
      <c r="C237">
        <v>186.58795463903971</v>
      </c>
      <c r="D237">
        <v>-2.3646379325359401E-4</v>
      </c>
      <c r="E237">
        <v>-2.3646379325359401E-4</v>
      </c>
    </row>
    <row r="238" spans="1:5">
      <c r="A238" t="s">
        <v>241</v>
      </c>
      <c r="B238">
        <v>183.72144687419271</v>
      </c>
      <c r="C238">
        <v>187.44955332816079</v>
      </c>
      <c r="D238">
        <v>4.6176543967588746E-3</v>
      </c>
      <c r="E238">
        <v>4.6176543967588746E-3</v>
      </c>
    </row>
    <row r="239" spans="1:5">
      <c r="A239" t="s">
        <v>242</v>
      </c>
      <c r="B239">
        <v>183.88462611616649</v>
      </c>
      <c r="C239">
        <v>187.61604383071699</v>
      </c>
      <c r="D239">
        <v>8.8818831306936019E-4</v>
      </c>
      <c r="E239">
        <v>8.8818831306936019E-4</v>
      </c>
    </row>
    <row r="240" spans="1:5">
      <c r="A240" t="s">
        <v>243</v>
      </c>
      <c r="B240">
        <v>184.61900040912221</v>
      </c>
      <c r="C240">
        <v>188.36532017015551</v>
      </c>
      <c r="D240">
        <v>3.9936687936694693E-3</v>
      </c>
      <c r="E240">
        <v>3.9936687936694693E-3</v>
      </c>
    </row>
    <row r="241" spans="1:5">
      <c r="A241" t="s">
        <v>244</v>
      </c>
      <c r="B241">
        <v>184.41748555954379</v>
      </c>
      <c r="C241">
        <v>188.15971614740721</v>
      </c>
      <c r="D241">
        <v>-1.0915173905821089E-3</v>
      </c>
      <c r="E241">
        <v>-1.09151739058222E-3</v>
      </c>
    </row>
    <row r="242" spans="1:5">
      <c r="A242" t="s">
        <v>245</v>
      </c>
      <c r="B242">
        <v>182.12394788675141</v>
      </c>
      <c r="C242">
        <v>185.819637622984</v>
      </c>
      <c r="D242">
        <v>-1.2436660579302041E-2</v>
      </c>
      <c r="E242">
        <v>-1.2436660579302041E-2</v>
      </c>
    </row>
    <row r="243" spans="1:5">
      <c r="A243" t="s">
        <v>246</v>
      </c>
      <c r="B243">
        <v>179.99756392716691</v>
      </c>
      <c r="C243">
        <v>183.9060687632871</v>
      </c>
      <c r="D243">
        <v>-1.1675476971906519E-2</v>
      </c>
      <c r="E243">
        <v>-1.0297990482466929E-2</v>
      </c>
    </row>
    <row r="244" spans="1:5">
      <c r="A244" t="s">
        <v>247</v>
      </c>
      <c r="B244">
        <v>181.4606458104108</v>
      </c>
      <c r="C244">
        <v>185.40092031325059</v>
      </c>
      <c r="D244">
        <v>8.1283426915483847E-3</v>
      </c>
      <c r="E244">
        <v>8.1283426915483847E-3</v>
      </c>
    </row>
    <row r="245" spans="1:5">
      <c r="A245" t="s">
        <v>248</v>
      </c>
      <c r="B245">
        <v>189.49346392969471</v>
      </c>
      <c r="C245">
        <v>193.60816472910139</v>
      </c>
      <c r="D245">
        <v>4.4267549492116753E-2</v>
      </c>
      <c r="E245">
        <v>4.4267549492116753E-2</v>
      </c>
    </row>
    <row r="246" spans="1:5">
      <c r="A246" t="s">
        <v>249</v>
      </c>
      <c r="B246">
        <v>191.1922839311444</v>
      </c>
      <c r="C246">
        <v>195.34387326418729</v>
      </c>
      <c r="D246">
        <v>8.9650585630753898E-3</v>
      </c>
      <c r="E246">
        <v>8.9650585630753898E-3</v>
      </c>
    </row>
    <row r="247" spans="1:5">
      <c r="A247" t="s">
        <v>250</v>
      </c>
      <c r="B247">
        <v>187.24144816728031</v>
      </c>
      <c r="C247">
        <v>191.30724822433041</v>
      </c>
      <c r="D247">
        <v>-2.066420089048648E-2</v>
      </c>
      <c r="E247">
        <v>-2.0664200890486369E-2</v>
      </c>
    </row>
    <row r="248" spans="1:5">
      <c r="A248" t="s">
        <v>251</v>
      </c>
      <c r="B248">
        <v>185.8777047612181</v>
      </c>
      <c r="C248">
        <v>189.91389220806661</v>
      </c>
      <c r="D248">
        <v>-7.2833414791999562E-3</v>
      </c>
      <c r="E248">
        <v>-7.2833414791998452E-3</v>
      </c>
    </row>
    <row r="249" spans="1:5">
      <c r="A249" t="s">
        <v>252</v>
      </c>
      <c r="B249">
        <v>185.97445705328471</v>
      </c>
      <c r="C249">
        <v>190.0127453996854</v>
      </c>
      <c r="D249">
        <v>5.2051585310319837E-4</v>
      </c>
      <c r="E249">
        <v>5.2051585310319837E-4</v>
      </c>
    </row>
    <row r="250" spans="1:5">
      <c r="A250" t="s">
        <v>253</v>
      </c>
      <c r="B250">
        <v>180.94317229788001</v>
      </c>
      <c r="C250">
        <v>184.87221027239039</v>
      </c>
      <c r="D250">
        <v>-2.7053633252243529E-2</v>
      </c>
      <c r="E250">
        <v>-2.7053633252243529E-2</v>
      </c>
    </row>
    <row r="251" spans="1:5">
      <c r="A251" t="s">
        <v>254</v>
      </c>
      <c r="B251">
        <v>183.43492099179861</v>
      </c>
      <c r="C251">
        <v>187.41806531979569</v>
      </c>
      <c r="D251">
        <v>1.377089095031736E-2</v>
      </c>
      <c r="E251">
        <v>1.377089095031736E-2</v>
      </c>
    </row>
    <row r="252" spans="1:5">
      <c r="A252" t="s">
        <v>255</v>
      </c>
      <c r="B252">
        <v>179.70798929825841</v>
      </c>
      <c r="C252">
        <v>183.61020625018281</v>
      </c>
      <c r="D252">
        <v>-2.0317460129125831E-2</v>
      </c>
      <c r="E252">
        <v>-2.0317460129125831E-2</v>
      </c>
    </row>
    <row r="253" spans="1:5">
      <c r="A253" t="s">
        <v>256</v>
      </c>
      <c r="B253">
        <v>186.04339604427591</v>
      </c>
      <c r="C253">
        <v>190.08318134637869</v>
      </c>
      <c r="D253">
        <v>3.5253895893869742E-2</v>
      </c>
      <c r="E253">
        <v>3.5253895893869742E-2</v>
      </c>
    </row>
    <row r="254" spans="1:5">
      <c r="A254" t="s">
        <v>257</v>
      </c>
      <c r="B254">
        <v>187.96573865278449</v>
      </c>
      <c r="C254">
        <v>192.04726610527041</v>
      </c>
      <c r="D254">
        <v>1.033276455591658E-2</v>
      </c>
      <c r="E254">
        <v>1.033276455591658E-2</v>
      </c>
    </row>
    <row r="255" spans="1:5">
      <c r="A255" t="s">
        <v>258</v>
      </c>
      <c r="B255">
        <v>188.43839244612781</v>
      </c>
      <c r="C255">
        <v>192.53018320216509</v>
      </c>
      <c r="D255">
        <v>2.5145741810765898E-3</v>
      </c>
      <c r="E255">
        <v>2.5145741810765898E-3</v>
      </c>
    </row>
    <row r="256" spans="1:5">
      <c r="A256" t="s">
        <v>259</v>
      </c>
      <c r="B256">
        <v>188.64631726325811</v>
      </c>
      <c r="C256">
        <v>192.74262294236189</v>
      </c>
      <c r="D256">
        <v>1.103410055834253E-3</v>
      </c>
      <c r="E256">
        <v>1.103410055834253E-3</v>
      </c>
    </row>
    <row r="257" spans="1:5">
      <c r="A257" t="s">
        <v>260</v>
      </c>
      <c r="B257">
        <v>190.93813076664321</v>
      </c>
      <c r="C257">
        <v>195.08420136459389</v>
      </c>
      <c r="D257">
        <v>1.214873174643971E-2</v>
      </c>
      <c r="E257">
        <v>1.214873174643971E-2</v>
      </c>
    </row>
    <row r="258" spans="1:5">
      <c r="A258" t="s">
        <v>261</v>
      </c>
      <c r="B258">
        <v>180.68940059664379</v>
      </c>
      <c r="C258">
        <v>184.61292811923519</v>
      </c>
      <c r="D258">
        <v>-5.3675659905380257E-2</v>
      </c>
      <c r="E258">
        <v>-5.3675659905380153E-2</v>
      </c>
    </row>
    <row r="259" spans="1:5">
      <c r="A259" t="s">
        <v>262</v>
      </c>
      <c r="B259">
        <v>184.1939872400568</v>
      </c>
      <c r="C259">
        <v>188.19361409169201</v>
      </c>
      <c r="D259">
        <v>1.9395640429602731E-2</v>
      </c>
      <c r="E259">
        <v>1.9395640429602731E-2</v>
      </c>
    </row>
    <row r="260" spans="1:5">
      <c r="A260" t="s">
        <v>263</v>
      </c>
      <c r="B260">
        <v>187.12799024112809</v>
      </c>
      <c r="C260">
        <v>191.19132664898561</v>
      </c>
      <c r="D260">
        <v>1.5928875013968339E-2</v>
      </c>
      <c r="E260">
        <v>1.5928875013968339E-2</v>
      </c>
    </row>
    <row r="261" spans="1:5">
      <c r="A261" t="s">
        <v>264</v>
      </c>
      <c r="B261">
        <v>188.00709541395179</v>
      </c>
      <c r="C261">
        <v>192.08952089581939</v>
      </c>
      <c r="D261">
        <v>4.6978817636578194E-3</v>
      </c>
      <c r="E261">
        <v>4.6978817636578194E-3</v>
      </c>
    </row>
    <row r="262" spans="1:5">
      <c r="A262" t="s">
        <v>265</v>
      </c>
      <c r="B262">
        <v>189.84208398517401</v>
      </c>
      <c r="C262">
        <v>193.9643547935469</v>
      </c>
      <c r="D262">
        <v>9.760209140946996E-3</v>
      </c>
      <c r="E262">
        <v>9.760209140946996E-3</v>
      </c>
    </row>
    <row r="263" spans="1:5">
      <c r="A263" t="s">
        <v>266</v>
      </c>
      <c r="B263">
        <v>186.25132086140621</v>
      </c>
      <c r="C263">
        <v>190.29562108657561</v>
      </c>
      <c r="D263">
        <v>-1.891447380048894E-2</v>
      </c>
      <c r="E263">
        <v>-1.8914473800489051E-2</v>
      </c>
    </row>
    <row r="264" spans="1:5">
      <c r="A264" t="s">
        <v>267</v>
      </c>
      <c r="B264">
        <v>187.6150642674684</v>
      </c>
      <c r="C264">
        <v>191.6889771028394</v>
      </c>
      <c r="D264">
        <v>7.3220603201895607E-3</v>
      </c>
      <c r="E264">
        <v>7.3220603201895607E-3</v>
      </c>
    </row>
    <row r="265" spans="1:5">
      <c r="A265" t="s">
        <v>268</v>
      </c>
      <c r="B265">
        <v>185.79849074254159</v>
      </c>
      <c r="C265">
        <v>189.83295811958291</v>
      </c>
      <c r="D265">
        <v>-9.682450244704377E-3</v>
      </c>
      <c r="E265">
        <v>-9.682450244704377E-3</v>
      </c>
    </row>
    <row r="266" spans="1:5">
      <c r="A266" t="s">
        <v>269</v>
      </c>
      <c r="B266">
        <v>184.87441545851709</v>
      </c>
      <c r="C266">
        <v>188.88881727112661</v>
      </c>
      <c r="D266">
        <v>-4.9735349320193523E-3</v>
      </c>
      <c r="E266">
        <v>-4.9735349320192412E-3</v>
      </c>
    </row>
    <row r="267" spans="1:5">
      <c r="A267" t="s">
        <v>270</v>
      </c>
      <c r="B267">
        <v>180.2404148990644</v>
      </c>
      <c r="C267">
        <v>184.15419305209741</v>
      </c>
      <c r="D267">
        <v>-2.5065667133873929E-2</v>
      </c>
      <c r="E267">
        <v>-2.5065667133874151E-2</v>
      </c>
    </row>
    <row r="268" spans="1:5">
      <c r="A268" t="s">
        <v>271</v>
      </c>
      <c r="B268">
        <v>184.55273193120809</v>
      </c>
      <c r="C268">
        <v>188.56014864027091</v>
      </c>
      <c r="D268">
        <v>2.392536121578881E-2</v>
      </c>
      <c r="E268">
        <v>2.392536121578881E-2</v>
      </c>
    </row>
    <row r="269" spans="1:5">
      <c r="A269" t="s">
        <v>272</v>
      </c>
      <c r="B269">
        <v>186.72138846963441</v>
      </c>
      <c r="C269">
        <v>190.77589584138951</v>
      </c>
      <c r="D269">
        <v>1.1750877463220901E-2</v>
      </c>
      <c r="E269">
        <v>1.1750877463220901E-2</v>
      </c>
    </row>
    <row r="270" spans="1:5">
      <c r="A270" t="s">
        <v>273</v>
      </c>
      <c r="B270">
        <v>185.27428583958411</v>
      </c>
      <c r="C270">
        <v>189.2973705214732</v>
      </c>
      <c r="D270">
        <v>-7.7500635674935259E-3</v>
      </c>
      <c r="E270">
        <v>-7.7500635674935259E-3</v>
      </c>
    </row>
    <row r="271" spans="1:5">
      <c r="A271" t="s">
        <v>274</v>
      </c>
      <c r="B271">
        <v>183.40733876197481</v>
      </c>
      <c r="C271">
        <v>187.38988416365129</v>
      </c>
      <c r="D271">
        <v>-1.0076665896452289E-2</v>
      </c>
      <c r="E271">
        <v>-1.007666589645251E-2</v>
      </c>
    </row>
    <row r="272" spans="1:5">
      <c r="A272" t="s">
        <v>275</v>
      </c>
      <c r="B272">
        <v>185.74553100474401</v>
      </c>
      <c r="C272">
        <v>189.7788484029368</v>
      </c>
      <c r="D272">
        <v>1.274862968162749E-2</v>
      </c>
      <c r="E272">
        <v>1.274862968162749E-2</v>
      </c>
    </row>
    <row r="273" spans="1:5">
      <c r="A273" t="s">
        <v>276</v>
      </c>
      <c r="B273">
        <v>183.21680182622151</v>
      </c>
      <c r="C273">
        <v>187.19520986893261</v>
      </c>
      <c r="D273">
        <v>-1.3613943575622071E-2</v>
      </c>
      <c r="E273">
        <v>-1.361394357562218E-2</v>
      </c>
    </row>
    <row r="274" spans="1:5">
      <c r="A274" t="s">
        <v>277</v>
      </c>
      <c r="B274">
        <v>179.85793239937439</v>
      </c>
      <c r="C274">
        <v>183.763405247229</v>
      </c>
      <c r="D274">
        <v>-1.833275875011153E-2</v>
      </c>
      <c r="E274">
        <v>-1.8332758750111641E-2</v>
      </c>
    </row>
    <row r="275" spans="1:5">
      <c r="A275" t="s">
        <v>278</v>
      </c>
      <c r="B275">
        <v>180.89858364994419</v>
      </c>
      <c r="C275">
        <v>184.8266534172061</v>
      </c>
      <c r="D275">
        <v>5.7859624909903928E-3</v>
      </c>
      <c r="E275">
        <v>5.7859624909903928E-3</v>
      </c>
    </row>
    <row r="276" spans="1:5">
      <c r="A276" t="s">
        <v>279</v>
      </c>
      <c r="B276">
        <v>177.1158749622397</v>
      </c>
      <c r="C276">
        <v>180.96180620008511</v>
      </c>
      <c r="D276">
        <v>-2.0910659505352539E-2</v>
      </c>
      <c r="E276">
        <v>-2.0910659505352539E-2</v>
      </c>
    </row>
    <row r="277" spans="1:5">
      <c r="A277" t="s">
        <v>280</v>
      </c>
      <c r="B277">
        <v>173.5251118384719</v>
      </c>
      <c r="C277">
        <v>177.29307249311381</v>
      </c>
      <c r="D277">
        <v>-2.0273525027236231E-2</v>
      </c>
      <c r="E277">
        <v>-2.0273525027236231E-2</v>
      </c>
    </row>
    <row r="278" spans="1:5">
      <c r="A278" t="s">
        <v>281</v>
      </c>
      <c r="B278">
        <v>170.957993547162</v>
      </c>
      <c r="C278">
        <v>174.6702112570797</v>
      </c>
      <c r="D278">
        <v>-1.479392961693959E-2</v>
      </c>
      <c r="E278">
        <v>-1.4793929616939479E-2</v>
      </c>
    </row>
    <row r="279" spans="1:5">
      <c r="A279" t="s">
        <v>282</v>
      </c>
      <c r="B279">
        <v>174.09052311058349</v>
      </c>
      <c r="C279">
        <v>177.87076122411551</v>
      </c>
      <c r="D279">
        <v>1.832338750838991E-2</v>
      </c>
      <c r="E279">
        <v>1.832338750838991E-2</v>
      </c>
    </row>
    <row r="280" spans="1:5">
      <c r="A280" t="s">
        <v>283</v>
      </c>
      <c r="B280">
        <v>171.82910909338889</v>
      </c>
      <c r="C280">
        <v>175.56024238888989</v>
      </c>
      <c r="D280">
        <v>-1.2989874329678909E-2</v>
      </c>
      <c r="E280">
        <v>-1.2989874329678909E-2</v>
      </c>
    </row>
    <row r="281" spans="1:5">
      <c r="A281" t="s">
        <v>284</v>
      </c>
      <c r="B281">
        <v>171.45963819851249</v>
      </c>
      <c r="C281">
        <v>175.18274872554969</v>
      </c>
      <c r="D281">
        <v>-2.1502229559698942E-3</v>
      </c>
      <c r="E281">
        <v>-2.1502229559698942E-3</v>
      </c>
    </row>
    <row r="282" spans="1:5">
      <c r="A282" t="s">
        <v>285</v>
      </c>
      <c r="B282">
        <v>169.850495022968</v>
      </c>
      <c r="C282">
        <v>173.5386642777658</v>
      </c>
      <c r="D282">
        <v>-9.3849677536436138E-3</v>
      </c>
      <c r="E282">
        <v>-9.3849677536436138E-3</v>
      </c>
    </row>
    <row r="283" spans="1:5">
      <c r="A283" t="s">
        <v>286</v>
      </c>
      <c r="B283">
        <v>165.5790402842436</v>
      </c>
      <c r="C283">
        <v>169.1744582754169</v>
      </c>
      <c r="D283">
        <v>-2.5148320810880139E-2</v>
      </c>
      <c r="E283">
        <v>-2.5148320810880139E-2</v>
      </c>
    </row>
    <row r="284" spans="1:5">
      <c r="A284" t="s">
        <v>287</v>
      </c>
      <c r="B284">
        <v>168.41138201951449</v>
      </c>
      <c r="C284">
        <v>172.06830207287311</v>
      </c>
      <c r="D284">
        <v>1.7105677931268829E-2</v>
      </c>
      <c r="E284">
        <v>1.7105677931268829E-2</v>
      </c>
    </row>
    <row r="285" spans="1:5">
      <c r="A285" t="s">
        <v>288</v>
      </c>
      <c r="B285">
        <v>164.71237663153281</v>
      </c>
      <c r="C285">
        <v>168.2889757064718</v>
      </c>
      <c r="D285">
        <v>-2.1964105653815461E-2</v>
      </c>
      <c r="E285">
        <v>-2.1964105653815461E-2</v>
      </c>
    </row>
    <row r="286" spans="1:5">
      <c r="A286" t="s">
        <v>289</v>
      </c>
      <c r="B286">
        <v>164.0800424688444</v>
      </c>
      <c r="C286">
        <v>167.64291090721821</v>
      </c>
      <c r="D286">
        <v>-3.8390203311978728E-3</v>
      </c>
      <c r="E286">
        <v>-3.8390203311979838E-3</v>
      </c>
    </row>
    <row r="287" spans="1:5">
      <c r="A287" t="s">
        <v>290</v>
      </c>
      <c r="B287">
        <v>165.7346128358073</v>
      </c>
      <c r="C287">
        <v>169.33340896197799</v>
      </c>
      <c r="D287">
        <v>1.008392210330555E-2</v>
      </c>
      <c r="E287">
        <v>1.008392210330555E-2</v>
      </c>
    </row>
    <row r="288" spans="1:5">
      <c r="A288" t="s">
        <v>291</v>
      </c>
      <c r="B288">
        <v>166.26517272821221</v>
      </c>
      <c r="C288">
        <v>170.5426656654341</v>
      </c>
      <c r="D288">
        <v>3.2012618446246588E-3</v>
      </c>
      <c r="E288">
        <v>7.1412765553406921E-3</v>
      </c>
    </row>
    <row r="289" spans="1:5">
      <c r="A289" t="s">
        <v>292</v>
      </c>
      <c r="B289">
        <v>163.15515903249241</v>
      </c>
      <c r="C289">
        <v>167.35264085614301</v>
      </c>
      <c r="D289">
        <v>-1.8705142181541849E-2</v>
      </c>
      <c r="E289">
        <v>-1.8705142181541731E-2</v>
      </c>
    </row>
    <row r="290" spans="1:5">
      <c r="A290" t="s">
        <v>293</v>
      </c>
      <c r="B290">
        <v>168.26474788796619</v>
      </c>
      <c r="C290">
        <v>172.59368376108941</v>
      </c>
      <c r="D290">
        <v>3.13173600257175E-2</v>
      </c>
      <c r="E290">
        <v>3.13173600257175E-2</v>
      </c>
    </row>
    <row r="291" spans="1:5">
      <c r="A291" t="s">
        <v>294</v>
      </c>
      <c r="B291">
        <v>166.26002813029439</v>
      </c>
      <c r="C291">
        <v>170.53738871279089</v>
      </c>
      <c r="D291">
        <v>-1.191408053579102E-2</v>
      </c>
      <c r="E291">
        <v>-1.191408053579102E-2</v>
      </c>
    </row>
    <row r="292" spans="1:5">
      <c r="A292" t="s">
        <v>295</v>
      </c>
      <c r="B292">
        <v>166.10586621718181</v>
      </c>
      <c r="C292">
        <v>170.37926068648881</v>
      </c>
      <c r="D292">
        <v>-9.2723377258041584E-4</v>
      </c>
      <c r="E292">
        <v>-9.2723377258041584E-4</v>
      </c>
    </row>
    <row r="293" spans="1:5">
      <c r="A293" t="s">
        <v>296</v>
      </c>
      <c r="B293">
        <v>169.25310902728219</v>
      </c>
      <c r="C293">
        <v>173.60747240108691</v>
      </c>
      <c r="D293">
        <v>1.8947210485543261E-2</v>
      </c>
      <c r="E293">
        <v>1.8947210485543261E-2</v>
      </c>
    </row>
    <row r="294" spans="1:5">
      <c r="A294" t="s">
        <v>297</v>
      </c>
      <c r="B294">
        <v>167.79502039179769</v>
      </c>
      <c r="C294">
        <v>172.11187161716029</v>
      </c>
      <c r="D294">
        <v>-8.6148410736107683E-3</v>
      </c>
      <c r="E294">
        <v>-8.6148410736106573E-3</v>
      </c>
    </row>
    <row r="295" spans="1:5">
      <c r="A295" t="s">
        <v>298</v>
      </c>
      <c r="B295">
        <v>163.92562035971059</v>
      </c>
      <c r="C295">
        <v>168.14292379020469</v>
      </c>
      <c r="D295">
        <v>-2.306027928035104E-2</v>
      </c>
      <c r="E295">
        <v>-2.3060279280350929E-2</v>
      </c>
    </row>
    <row r="296" spans="1:5">
      <c r="A296" t="s">
        <v>299</v>
      </c>
      <c r="B296">
        <v>162.38434946692951</v>
      </c>
      <c r="C296">
        <v>166.5620007246321</v>
      </c>
      <c r="D296">
        <v>-9.4022574958025906E-3</v>
      </c>
      <c r="E296">
        <v>-9.4022574958024796E-3</v>
      </c>
    </row>
    <row r="297" spans="1:5">
      <c r="A297" t="s">
        <v>300</v>
      </c>
      <c r="B297">
        <v>155.03915264519009</v>
      </c>
      <c r="C297">
        <v>159.02783451735061</v>
      </c>
      <c r="D297">
        <v>-4.5233403624499458E-2</v>
      </c>
      <c r="E297">
        <v>-4.5233403624499458E-2</v>
      </c>
    </row>
    <row r="298" spans="1:5">
      <c r="A298" t="s">
        <v>301</v>
      </c>
      <c r="B298">
        <v>161.02758250588579</v>
      </c>
      <c r="C298">
        <v>165.17032831106289</v>
      </c>
      <c r="D298">
        <v>3.8625274703354202E-2</v>
      </c>
      <c r="E298">
        <v>3.8625274703354202E-2</v>
      </c>
    </row>
    <row r="299" spans="1:5">
      <c r="A299" t="s">
        <v>302</v>
      </c>
      <c r="B299">
        <v>160.64043522526649</v>
      </c>
      <c r="C299">
        <v>164.77322091834469</v>
      </c>
      <c r="D299">
        <v>-2.404229602125163E-3</v>
      </c>
      <c r="E299">
        <v>-2.404229602125163E-3</v>
      </c>
    </row>
    <row r="300" spans="1:5">
      <c r="A300" t="s">
        <v>303</v>
      </c>
      <c r="B300">
        <v>144.6621571176471</v>
      </c>
      <c r="C300">
        <v>148.38387072248929</v>
      </c>
      <c r="D300">
        <v>-9.9466103196327982E-2</v>
      </c>
      <c r="E300">
        <v>-9.9466103196327871E-2</v>
      </c>
    </row>
    <row r="301" spans="1:5">
      <c r="A301" t="s">
        <v>304</v>
      </c>
      <c r="B301">
        <v>138.68349088390491</v>
      </c>
      <c r="C301">
        <v>142.2513917439058</v>
      </c>
      <c r="D301">
        <v>-4.1328474238635948E-2</v>
      </c>
      <c r="E301">
        <v>-4.1328474238635948E-2</v>
      </c>
    </row>
    <row r="302" spans="1:5">
      <c r="A302" t="s">
        <v>305</v>
      </c>
      <c r="B302">
        <v>132.58650401466801</v>
      </c>
      <c r="C302">
        <v>135.99754810278111</v>
      </c>
      <c r="D302">
        <v>-4.396332130362135E-2</v>
      </c>
      <c r="E302">
        <v>-4.3963321303621461E-2</v>
      </c>
    </row>
    <row r="303" spans="1:5">
      <c r="A303" t="s">
        <v>306</v>
      </c>
      <c r="B303">
        <v>145.72359507169199</v>
      </c>
      <c r="C303">
        <v>149.47261621952251</v>
      </c>
      <c r="D303">
        <v>9.9083169547714567E-2</v>
      </c>
      <c r="E303">
        <v>9.9083169547714567E-2</v>
      </c>
    </row>
    <row r="304" spans="1:5">
      <c r="A304" t="s">
        <v>307</v>
      </c>
      <c r="B304">
        <v>151.06502883858209</v>
      </c>
      <c r="C304">
        <v>154.9514686943572</v>
      </c>
      <c r="D304">
        <v>3.6654556623189498E-2</v>
      </c>
      <c r="E304">
        <v>3.6654556623189498E-2</v>
      </c>
    </row>
    <row r="305" spans="1:5">
      <c r="A305" t="s">
        <v>308</v>
      </c>
      <c r="B305">
        <v>148.02084377803001</v>
      </c>
      <c r="C305">
        <v>151.82896608911159</v>
      </c>
      <c r="D305">
        <v>-2.015148763387797E-2</v>
      </c>
      <c r="E305">
        <v>-2.0151487633877859E-2</v>
      </c>
    </row>
    <row r="306" spans="1:5">
      <c r="A306" t="s">
        <v>309</v>
      </c>
      <c r="B306">
        <v>149.71035261372089</v>
      </c>
      <c r="C306">
        <v>153.5619408051999</v>
      </c>
      <c r="D306">
        <v>1.1413992736215571E-2</v>
      </c>
      <c r="E306">
        <v>1.1413992736215571E-2</v>
      </c>
    </row>
    <row r="307" spans="1:5">
      <c r="A307" t="s">
        <v>310</v>
      </c>
      <c r="B307">
        <v>146.08021658041849</v>
      </c>
      <c r="C307">
        <v>149.83841250586349</v>
      </c>
      <c r="D307">
        <v>-2.424772883054294E-2</v>
      </c>
      <c r="E307">
        <v>-2.424772883054294E-2</v>
      </c>
    </row>
    <row r="308" spans="1:5">
      <c r="A308" t="s">
        <v>311</v>
      </c>
      <c r="B308">
        <v>144.591785926309</v>
      </c>
      <c r="C308">
        <v>148.31168909623571</v>
      </c>
      <c r="D308">
        <v>-1.01891323065646E-2</v>
      </c>
      <c r="E308">
        <v>-1.0189132306564491E-2</v>
      </c>
    </row>
    <row r="309" spans="1:5">
      <c r="A309" t="s">
        <v>312</v>
      </c>
      <c r="B309">
        <v>145.3166423489559</v>
      </c>
      <c r="C309">
        <v>149.05519385140769</v>
      </c>
      <c r="D309">
        <v>5.0131231038001989E-3</v>
      </c>
      <c r="E309">
        <v>5.0131231038001989E-3</v>
      </c>
    </row>
    <row r="310" spans="1:5">
      <c r="A310" t="s">
        <v>313</v>
      </c>
      <c r="B310">
        <v>143.0484178746149</v>
      </c>
      <c r="C310">
        <v>146.7286149182836</v>
      </c>
      <c r="D310">
        <v>-1.560884175189081E-2</v>
      </c>
      <c r="E310">
        <v>-1.5608841751890919E-2</v>
      </c>
    </row>
    <row r="311" spans="1:5">
      <c r="A311" t="s">
        <v>314</v>
      </c>
      <c r="B311">
        <v>139.5634659224869</v>
      </c>
      <c r="C311">
        <v>143.15400584123171</v>
      </c>
      <c r="D311">
        <v>-2.436204471120185E-2</v>
      </c>
      <c r="E311">
        <v>-2.436204471120185E-2</v>
      </c>
    </row>
    <row r="312" spans="1:5">
      <c r="A312" t="s">
        <v>315</v>
      </c>
      <c r="B312">
        <v>148.9641320043873</v>
      </c>
      <c r="C312">
        <v>152.79652222834449</v>
      </c>
      <c r="D312">
        <v>6.7357642773944182E-2</v>
      </c>
      <c r="E312">
        <v>6.7357642773944182E-2</v>
      </c>
    </row>
    <row r="313" spans="1:5">
      <c r="A313" t="s">
        <v>316</v>
      </c>
      <c r="B313">
        <v>147.1259605145766</v>
      </c>
      <c r="C313">
        <v>150.91106022401391</v>
      </c>
      <c r="D313">
        <v>-1.233969187801864E-2</v>
      </c>
      <c r="E313">
        <v>-1.233969187801864E-2</v>
      </c>
    </row>
    <row r="314" spans="1:5">
      <c r="A314" t="s">
        <v>317</v>
      </c>
      <c r="B314">
        <v>151.22433534961249</v>
      </c>
      <c r="C314">
        <v>155.1148736733025</v>
      </c>
      <c r="D314">
        <v>2.7856231631057771E-2</v>
      </c>
      <c r="E314">
        <v>2.7856231631057771E-2</v>
      </c>
    </row>
    <row r="315" spans="1:5">
      <c r="A315" t="s">
        <v>318</v>
      </c>
      <c r="B315">
        <v>152.5438731962756</v>
      </c>
      <c r="C315">
        <v>156.46835918156469</v>
      </c>
      <c r="D315">
        <v>8.7256977761709376E-3</v>
      </c>
      <c r="E315">
        <v>8.7256977761709376E-3</v>
      </c>
    </row>
    <row r="316" spans="1:5">
      <c r="A316" t="s">
        <v>319</v>
      </c>
      <c r="B316">
        <v>153.47765159908221</v>
      </c>
      <c r="C316">
        <v>157.42616083865471</v>
      </c>
      <c r="D316">
        <v>6.121375990008282E-3</v>
      </c>
      <c r="E316">
        <v>6.121375990008282E-3</v>
      </c>
    </row>
    <row r="317" spans="1:5">
      <c r="A317" t="s">
        <v>320</v>
      </c>
      <c r="B317">
        <v>154.06186649672509</v>
      </c>
      <c r="C317">
        <v>158.02540579375031</v>
      </c>
      <c r="D317">
        <v>3.8065144439987102E-3</v>
      </c>
      <c r="E317">
        <v>3.8065144439987102E-3</v>
      </c>
    </row>
    <row r="318" spans="1:5">
      <c r="A318" t="s">
        <v>321</v>
      </c>
      <c r="B318">
        <v>160.18912533445209</v>
      </c>
      <c r="C318">
        <v>164.3103002082662</v>
      </c>
      <c r="D318">
        <v>3.9771417658744701E-2</v>
      </c>
      <c r="E318">
        <v>3.9771417658744701E-2</v>
      </c>
    </row>
    <row r="319" spans="1:5">
      <c r="A319" t="s">
        <v>322</v>
      </c>
      <c r="B319">
        <v>158.021088501192</v>
      </c>
      <c r="C319">
        <v>162.0864864369394</v>
      </c>
      <c r="D319">
        <v>-1.3534232294068031E-2</v>
      </c>
      <c r="E319">
        <v>-1.353423229406814E-2</v>
      </c>
    </row>
    <row r="320" spans="1:5">
      <c r="A320" t="s">
        <v>323</v>
      </c>
      <c r="B320">
        <v>155.55309720916711</v>
      </c>
      <c r="C320">
        <v>159.55500129862349</v>
      </c>
      <c r="D320">
        <v>-1.56181134773431E-2</v>
      </c>
      <c r="E320">
        <v>-1.56181134773431E-2</v>
      </c>
    </row>
    <row r="321" spans="1:5">
      <c r="A321" t="s">
        <v>324</v>
      </c>
      <c r="B321">
        <v>156.59351921487001</v>
      </c>
      <c r="C321">
        <v>160.6221901714224</v>
      </c>
      <c r="D321">
        <v>6.6885328827865909E-3</v>
      </c>
      <c r="E321">
        <v>6.6885328827865909E-3</v>
      </c>
    </row>
    <row r="322" spans="1:5">
      <c r="A322" t="s">
        <v>325</v>
      </c>
      <c r="B322">
        <v>155.34818579356539</v>
      </c>
      <c r="C322">
        <v>159.34481814078839</v>
      </c>
      <c r="D322">
        <v>-7.9526498130220169E-3</v>
      </c>
      <c r="E322">
        <v>-7.9526498130220169E-3</v>
      </c>
    </row>
    <row r="323" spans="1:5">
      <c r="A323" t="s">
        <v>326</v>
      </c>
      <c r="B323">
        <v>160.218333319717</v>
      </c>
      <c r="C323">
        <v>164.34025962540721</v>
      </c>
      <c r="D323">
        <v>3.1349883497341802E-2</v>
      </c>
      <c r="E323">
        <v>3.1349883497341802E-2</v>
      </c>
    </row>
    <row r="324" spans="1:5">
      <c r="A324" t="s">
        <v>327</v>
      </c>
      <c r="B324">
        <v>161.7557709784779</v>
      </c>
      <c r="C324">
        <v>165.9172508396052</v>
      </c>
      <c r="D324">
        <v>9.5958909751787669E-3</v>
      </c>
      <c r="E324">
        <v>9.5958909751787669E-3</v>
      </c>
    </row>
    <row r="325" spans="1:5">
      <c r="A325" t="s">
        <v>328</v>
      </c>
      <c r="B325">
        <v>164.22166511158991</v>
      </c>
      <c r="C325">
        <v>168.44658486554181</v>
      </c>
      <c r="D325">
        <v>1.524455120330837E-2</v>
      </c>
      <c r="E325">
        <v>1.524455120330837E-2</v>
      </c>
    </row>
    <row r="326" spans="1:5">
      <c r="A326" t="s">
        <v>329</v>
      </c>
      <c r="B326">
        <v>168.99982345631389</v>
      </c>
      <c r="C326">
        <v>173.34767056923769</v>
      </c>
      <c r="D326">
        <v>2.909578551330139E-2</v>
      </c>
      <c r="E326">
        <v>2.909578551330139E-2</v>
      </c>
    </row>
    <row r="327" spans="1:5">
      <c r="A327" t="s">
        <v>330</v>
      </c>
      <c r="B327">
        <v>167.9451016902176</v>
      </c>
      <c r="C327">
        <v>172.26581404706951</v>
      </c>
      <c r="D327">
        <v>-6.2409637153791886E-3</v>
      </c>
      <c r="E327">
        <v>-6.2409637153791886E-3</v>
      </c>
    </row>
    <row r="328" spans="1:5">
      <c r="A328" t="s">
        <v>331</v>
      </c>
      <c r="B328">
        <v>168.51196296573161</v>
      </c>
      <c r="C328">
        <v>172.8472589245647</v>
      </c>
      <c r="D328">
        <v>3.3752772174302499E-3</v>
      </c>
      <c r="E328">
        <v>3.3752772174302499E-3</v>
      </c>
    </row>
    <row r="329" spans="1:5">
      <c r="A329" t="s">
        <v>332</v>
      </c>
      <c r="B329">
        <v>165.70548315939411</v>
      </c>
      <c r="C329">
        <v>169.96857700065149</v>
      </c>
      <c r="D329">
        <v>-1.665448409089032E-2</v>
      </c>
      <c r="E329">
        <v>-1.6654484090890209E-2</v>
      </c>
    </row>
    <row r="330" spans="1:5">
      <c r="A330" t="s">
        <v>333</v>
      </c>
      <c r="B330">
        <v>164.8779936984088</v>
      </c>
      <c r="C330">
        <v>169.11979877385369</v>
      </c>
      <c r="D330">
        <v>-4.9937361468560537E-3</v>
      </c>
      <c r="E330">
        <v>-4.9937361468560537E-3</v>
      </c>
    </row>
    <row r="331" spans="1:5">
      <c r="A331" t="s">
        <v>334</v>
      </c>
      <c r="B331">
        <v>166.9079108767877</v>
      </c>
      <c r="C331">
        <v>171.2019394952103</v>
      </c>
      <c r="D331">
        <v>1.2311631970073339E-2</v>
      </c>
      <c r="E331">
        <v>1.2311631970073339E-2</v>
      </c>
    </row>
    <row r="332" spans="1:5">
      <c r="A332" t="s">
        <v>335</v>
      </c>
      <c r="B332">
        <v>165.4660418300721</v>
      </c>
      <c r="C332">
        <v>169.722975580324</v>
      </c>
      <c r="D332">
        <v>-8.6387100476023049E-3</v>
      </c>
      <c r="E332">
        <v>-8.6387100476024159E-3</v>
      </c>
    </row>
    <row r="333" spans="1:5">
      <c r="A333" t="s">
        <v>336</v>
      </c>
      <c r="B333">
        <v>165.7480342022302</v>
      </c>
      <c r="C333">
        <v>170.01222275131011</v>
      </c>
      <c r="D333">
        <v>1.7042310859631819E-3</v>
      </c>
      <c r="E333">
        <v>1.7042310859631819E-3</v>
      </c>
    </row>
    <row r="334" spans="1:5">
      <c r="A334" t="s">
        <v>337</v>
      </c>
      <c r="B334">
        <v>164.21304194072681</v>
      </c>
      <c r="C334">
        <v>168.43773984694079</v>
      </c>
      <c r="D334">
        <v>-9.2609982911199262E-3</v>
      </c>
      <c r="E334">
        <v>-9.2609982911199262E-3</v>
      </c>
    </row>
    <row r="335" spans="1:5">
      <c r="A335" t="s">
        <v>338</v>
      </c>
      <c r="B335">
        <v>162.5408867271648</v>
      </c>
      <c r="C335">
        <v>166.72256520845301</v>
      </c>
      <c r="D335">
        <v>-1.0182840496710369E-2</v>
      </c>
      <c r="E335">
        <v>-1.018284049671025E-2</v>
      </c>
    </row>
    <row r="336" spans="1:5">
      <c r="A336" t="s">
        <v>339</v>
      </c>
      <c r="B336">
        <v>162.83090022843859</v>
      </c>
      <c r="C336">
        <v>167.02003986760511</v>
      </c>
      <c r="D336">
        <v>1.784249533230309E-3</v>
      </c>
      <c r="E336">
        <v>1.784249533230309E-3</v>
      </c>
    </row>
    <row r="337" spans="1:5">
      <c r="A337" t="s">
        <v>340</v>
      </c>
      <c r="B337">
        <v>162.96901988331979</v>
      </c>
      <c r="C337">
        <v>167.1617129175753</v>
      </c>
      <c r="D337">
        <v>8.4823982848103441E-4</v>
      </c>
      <c r="E337">
        <v>8.4823982848103441E-4</v>
      </c>
    </row>
    <row r="338" spans="1:5">
      <c r="A338" t="s">
        <v>341</v>
      </c>
      <c r="B338">
        <v>159.65409477199819</v>
      </c>
      <c r="C338">
        <v>163.76150495044911</v>
      </c>
      <c r="D338">
        <v>-2.034082989328256E-2</v>
      </c>
      <c r="E338">
        <v>-2.0340829893282789E-2</v>
      </c>
    </row>
    <row r="339" spans="1:5">
      <c r="A339" t="s">
        <v>342</v>
      </c>
      <c r="B339">
        <v>160.28469394649741</v>
      </c>
      <c r="C339">
        <v>164.40832750757789</v>
      </c>
      <c r="D339">
        <v>3.9497839087672126E-3</v>
      </c>
      <c r="E339">
        <v>3.9497839087672126E-3</v>
      </c>
    </row>
    <row r="340" spans="1:5">
      <c r="A340" t="s">
        <v>343</v>
      </c>
      <c r="B340">
        <v>166.43182827647621</v>
      </c>
      <c r="C340">
        <v>170.71360874980039</v>
      </c>
      <c r="D340">
        <v>3.8351349580706851E-2</v>
      </c>
      <c r="E340">
        <v>3.8351349580706851E-2</v>
      </c>
    </row>
    <row r="341" spans="1:5">
      <c r="A341" t="s">
        <v>344</v>
      </c>
      <c r="B341">
        <v>167.29803554627711</v>
      </c>
      <c r="C341">
        <v>171.60210087588209</v>
      </c>
      <c r="D341">
        <v>5.2045770257480584E-3</v>
      </c>
      <c r="E341">
        <v>5.2045770257480584E-3</v>
      </c>
    </row>
    <row r="342" spans="1:5">
      <c r="A342" t="s">
        <v>345</v>
      </c>
      <c r="B342">
        <v>166.96817020282771</v>
      </c>
      <c r="C342">
        <v>171.263749108886</v>
      </c>
      <c r="D342">
        <v>-1.9717227543785132E-3</v>
      </c>
      <c r="E342">
        <v>-1.9717227543785132E-3</v>
      </c>
    </row>
    <row r="343" spans="1:5">
      <c r="A343" t="s">
        <v>346</v>
      </c>
      <c r="B343">
        <v>168.57641018686701</v>
      </c>
      <c r="C343">
        <v>172.9133641750318</v>
      </c>
      <c r="D343">
        <v>9.6320153840439016E-3</v>
      </c>
      <c r="E343">
        <v>9.6320153840439016E-3</v>
      </c>
    </row>
    <row r="344" spans="1:5">
      <c r="A344" t="s">
        <v>347</v>
      </c>
      <c r="B344">
        <v>174.87927159725871</v>
      </c>
      <c r="C344">
        <v>179.37837887781089</v>
      </c>
      <c r="D344">
        <v>3.7388750913635693E-2</v>
      </c>
      <c r="E344">
        <v>3.7388750913635693E-2</v>
      </c>
    </row>
    <row r="345" spans="1:5">
      <c r="A345" t="s">
        <v>348</v>
      </c>
      <c r="B345">
        <v>177.64774291693061</v>
      </c>
      <c r="C345">
        <v>182.21807447327359</v>
      </c>
      <c r="D345">
        <v>1.5830757381284141E-2</v>
      </c>
      <c r="E345">
        <v>1.5830757381284141E-2</v>
      </c>
    </row>
    <row r="346" spans="1:5">
      <c r="A346" t="s">
        <v>349</v>
      </c>
      <c r="B346">
        <v>174.6079230820113</v>
      </c>
      <c r="C346">
        <v>179.7693704178362</v>
      </c>
      <c r="D346">
        <v>-1.7111502713213041E-2</v>
      </c>
      <c r="E346">
        <v>-1.3438315943770429E-2</v>
      </c>
    </row>
    <row r="347" spans="1:5">
      <c r="A347" t="s">
        <v>350</v>
      </c>
      <c r="B347">
        <v>172.05771961929861</v>
      </c>
      <c r="C347">
        <v>177.14378239847741</v>
      </c>
      <c r="D347">
        <v>-1.460531353731853E-2</v>
      </c>
      <c r="E347">
        <v>-1.460531353731853E-2</v>
      </c>
    </row>
    <row r="348" spans="1:5">
      <c r="A348" t="s">
        <v>351</v>
      </c>
      <c r="B348">
        <v>171.25975554391721</v>
      </c>
      <c r="C348">
        <v>176.32223033534461</v>
      </c>
      <c r="D348">
        <v>-4.6377696807037294E-3</v>
      </c>
      <c r="E348">
        <v>-4.6377696807036184E-3</v>
      </c>
    </row>
    <row r="349" spans="1:5">
      <c r="A349" t="s">
        <v>352</v>
      </c>
      <c r="B349">
        <v>174.32907651776031</v>
      </c>
      <c r="C349">
        <v>179.48228108985069</v>
      </c>
      <c r="D349">
        <v>1.7922021224981322E-2</v>
      </c>
      <c r="E349">
        <v>1.7922021224981322E-2</v>
      </c>
    </row>
    <row r="350" spans="1:5">
      <c r="A350" t="s">
        <v>353</v>
      </c>
      <c r="B350">
        <v>175.94110710372479</v>
      </c>
      <c r="C350">
        <v>181.14196364272669</v>
      </c>
      <c r="D350">
        <v>9.2470551566321557E-3</v>
      </c>
      <c r="E350">
        <v>9.2470551566321557E-3</v>
      </c>
    </row>
    <row r="351" spans="1:5">
      <c r="A351" t="s">
        <v>354</v>
      </c>
      <c r="B351">
        <v>172.71704593179581</v>
      </c>
      <c r="C351">
        <v>177.82259853697471</v>
      </c>
      <c r="D351">
        <v>-1.8324661160784132E-2</v>
      </c>
      <c r="E351">
        <v>-1.832466116078391E-2</v>
      </c>
    </row>
    <row r="352" spans="1:5">
      <c r="A352" t="s">
        <v>355</v>
      </c>
      <c r="B352">
        <v>175.6034474459502</v>
      </c>
      <c r="C352">
        <v>180.7943226936666</v>
      </c>
      <c r="D352">
        <v>1.6711735072716619E-2</v>
      </c>
      <c r="E352">
        <v>1.6711735072716619E-2</v>
      </c>
    </row>
    <row r="353" spans="1:5">
      <c r="A353" t="s">
        <v>356</v>
      </c>
      <c r="B353">
        <v>170.61250605782109</v>
      </c>
      <c r="C353">
        <v>175.65584801680509</v>
      </c>
      <c r="D353">
        <v>-2.8421659487438689E-2</v>
      </c>
      <c r="E353">
        <v>-2.8421659487438689E-2</v>
      </c>
    </row>
    <row r="354" spans="1:5">
      <c r="A354" t="s">
        <v>357</v>
      </c>
      <c r="B354">
        <v>175.43652098931329</v>
      </c>
      <c r="C354">
        <v>180.62246185547539</v>
      </c>
      <c r="D354">
        <v>2.8274685384770629E-2</v>
      </c>
      <c r="E354">
        <v>2.8274685384770629E-2</v>
      </c>
    </row>
    <row r="355" spans="1:5">
      <c r="A355" t="s">
        <v>358</v>
      </c>
      <c r="B355">
        <v>178.66460777004269</v>
      </c>
      <c r="C355">
        <v>183.94597156788001</v>
      </c>
      <c r="D355">
        <v>1.8400312332493399E-2</v>
      </c>
      <c r="E355">
        <v>1.8400312332493399E-2</v>
      </c>
    </row>
    <row r="356" spans="1:5">
      <c r="A356" t="s">
        <v>359</v>
      </c>
      <c r="B356">
        <v>179.4238867959026</v>
      </c>
      <c r="C356">
        <v>184.72769504320129</v>
      </c>
      <c r="D356">
        <v>4.2497450129417302E-3</v>
      </c>
      <c r="E356">
        <v>4.2497450129417302E-3</v>
      </c>
    </row>
    <row r="357" spans="1:5">
      <c r="A357" t="s">
        <v>360</v>
      </c>
      <c r="B357">
        <v>180.26053592080541</v>
      </c>
      <c r="C357">
        <v>185.58907569414561</v>
      </c>
      <c r="D357">
        <v>4.6629751469742242E-3</v>
      </c>
      <c r="E357">
        <v>4.6629751469742242E-3</v>
      </c>
    </row>
    <row r="358" spans="1:5">
      <c r="A358" t="s">
        <v>361</v>
      </c>
      <c r="B358">
        <v>176.753602575825</v>
      </c>
      <c r="C358">
        <v>181.97847665375539</v>
      </c>
      <c r="D358">
        <v>-1.9454803720993619E-2</v>
      </c>
      <c r="E358">
        <v>-1.9454803720993511E-2</v>
      </c>
    </row>
    <row r="359" spans="1:5">
      <c r="A359" t="s">
        <v>362</v>
      </c>
      <c r="B359">
        <v>180.93841923882201</v>
      </c>
      <c r="C359">
        <v>186.28699738719129</v>
      </c>
      <c r="D359">
        <v>2.367599076913729E-2</v>
      </c>
      <c r="E359">
        <v>2.367599076913729E-2</v>
      </c>
    </row>
    <row r="360" spans="1:5">
      <c r="A360" t="s">
        <v>363</v>
      </c>
      <c r="B360">
        <v>180.83846652545941</v>
      </c>
      <c r="C360">
        <v>186.646100375348</v>
      </c>
      <c r="D360">
        <v>-5.5241288048768489E-4</v>
      </c>
      <c r="E360">
        <v>1.927686812248419E-3</v>
      </c>
    </row>
    <row r="361" spans="1:5">
      <c r="A361" t="s">
        <v>364</v>
      </c>
      <c r="B361">
        <v>181.50037545890569</v>
      </c>
      <c r="C361">
        <v>187.55022832869511</v>
      </c>
      <c r="D361">
        <v>3.6602219990240492E-3</v>
      </c>
      <c r="E361">
        <v>4.8440763108841267E-3</v>
      </c>
    </row>
    <row r="362" spans="1:5">
      <c r="A362" t="s">
        <v>365</v>
      </c>
      <c r="B362">
        <v>180.7165680044657</v>
      </c>
      <c r="C362">
        <v>186.74029464853459</v>
      </c>
      <c r="D362">
        <v>-4.3184894381524952E-3</v>
      </c>
      <c r="E362">
        <v>-4.3184894381524952E-3</v>
      </c>
    </row>
    <row r="363" spans="1:5">
      <c r="A363" t="s">
        <v>366</v>
      </c>
      <c r="B363">
        <v>179.90524073888449</v>
      </c>
      <c r="C363">
        <v>185.90192385440091</v>
      </c>
      <c r="D363">
        <v>-4.4895012922174793E-3</v>
      </c>
      <c r="E363">
        <v>-4.4895012922175903E-3</v>
      </c>
    </row>
    <row r="364" spans="1:5">
      <c r="A364" t="s">
        <v>367</v>
      </c>
      <c r="B364">
        <v>179.67144558493581</v>
      </c>
      <c r="C364">
        <v>185.66033573429721</v>
      </c>
      <c r="D364">
        <v>-1.299546099871929E-3</v>
      </c>
      <c r="E364">
        <v>-1.299546099871929E-3</v>
      </c>
    </row>
    <row r="365" spans="1:5">
      <c r="A365" t="s">
        <v>368</v>
      </c>
      <c r="B365">
        <v>181.99015504368089</v>
      </c>
      <c r="C365">
        <v>188.05633346882539</v>
      </c>
      <c r="D365">
        <v>1.2905275243911831E-2</v>
      </c>
      <c r="E365">
        <v>1.2905275243911831E-2</v>
      </c>
    </row>
    <row r="366" spans="1:5">
      <c r="A366" t="s">
        <v>369</v>
      </c>
      <c r="B366">
        <v>183.86036463436261</v>
      </c>
      <c r="C366">
        <v>189.98888173418291</v>
      </c>
      <c r="D366">
        <v>1.027643275666601E-2</v>
      </c>
      <c r="E366">
        <v>1.027643275666601E-2</v>
      </c>
    </row>
    <row r="367" spans="1:5">
      <c r="A367" t="s">
        <v>370</v>
      </c>
      <c r="B367">
        <v>184.02845909750221</v>
      </c>
      <c r="C367">
        <v>190.16257919824011</v>
      </c>
      <c r="D367">
        <v>9.1425067862749287E-4</v>
      </c>
      <c r="E367">
        <v>9.1425067862749287E-4</v>
      </c>
    </row>
    <row r="368" spans="1:5">
      <c r="A368" t="s">
        <v>371</v>
      </c>
      <c r="B368">
        <v>182.932139791807</v>
      </c>
      <c r="C368">
        <v>189.02971687999741</v>
      </c>
      <c r="D368">
        <v>-5.9573356809684563E-3</v>
      </c>
      <c r="E368">
        <v>-5.9573356809684563E-3</v>
      </c>
    </row>
    <row r="369" spans="1:5">
      <c r="A369" t="s">
        <v>372</v>
      </c>
      <c r="B369">
        <v>185.38521202838439</v>
      </c>
      <c r="C369">
        <v>191.56455603343511</v>
      </c>
      <c r="D369">
        <v>1.3409738930344471E-2</v>
      </c>
      <c r="E369">
        <v>1.3409738930344471E-2</v>
      </c>
    </row>
    <row r="370" spans="1:5">
      <c r="A370" t="s">
        <v>373</v>
      </c>
      <c r="B370">
        <v>188.38296603118971</v>
      </c>
      <c r="C370">
        <v>194.66223253287961</v>
      </c>
      <c r="D370">
        <v>1.617040523354318E-2</v>
      </c>
      <c r="E370">
        <v>1.617040523354318E-2</v>
      </c>
    </row>
    <row r="371" spans="1:5">
      <c r="A371" t="s">
        <v>374</v>
      </c>
      <c r="B371">
        <v>188.32718250983419</v>
      </c>
      <c r="C371">
        <v>194.6045896098787</v>
      </c>
      <c r="D371">
        <v>-2.9611765081916103E-4</v>
      </c>
      <c r="E371">
        <v>-2.9611765081904989E-4</v>
      </c>
    </row>
    <row r="372" spans="1:5">
      <c r="A372" t="s">
        <v>375</v>
      </c>
      <c r="B372">
        <v>192.24398808481459</v>
      </c>
      <c r="C372">
        <v>198.65195192551761</v>
      </c>
      <c r="D372">
        <v>2.0797876986111019E-2</v>
      </c>
      <c r="E372">
        <v>2.0797876986111019E-2</v>
      </c>
    </row>
    <row r="373" spans="1:5">
      <c r="A373" t="s">
        <v>376</v>
      </c>
      <c r="B373">
        <v>191.60534191756329</v>
      </c>
      <c r="C373">
        <v>197.9920181144366</v>
      </c>
      <c r="D373">
        <v>-3.3220605419896909E-3</v>
      </c>
      <c r="E373">
        <v>-3.3220605419896909E-3</v>
      </c>
    </row>
    <row r="374" spans="1:5">
      <c r="A374" t="s">
        <v>377</v>
      </c>
      <c r="B374">
        <v>188.51362351373459</v>
      </c>
      <c r="C374">
        <v>194.7972451499179</v>
      </c>
      <c r="D374">
        <v>-1.6135867470536861E-2</v>
      </c>
      <c r="E374">
        <v>-1.6135867470536861E-2</v>
      </c>
    </row>
    <row r="375" spans="1:5">
      <c r="A375" t="s">
        <v>378</v>
      </c>
      <c r="B375">
        <v>190.99495946052639</v>
      </c>
      <c r="C375">
        <v>197.36129011238339</v>
      </c>
      <c r="D375">
        <v>1.3162634617815749E-2</v>
      </c>
      <c r="E375">
        <v>1.3162634617815749E-2</v>
      </c>
    </row>
    <row r="376" spans="1:5">
      <c r="A376" t="s">
        <v>379</v>
      </c>
      <c r="B376">
        <v>191.59395115004199</v>
      </c>
      <c r="C376">
        <v>197.98024766468379</v>
      </c>
      <c r="D376">
        <v>3.1361649082650711E-3</v>
      </c>
      <c r="E376">
        <v>3.1361649082650711E-3</v>
      </c>
    </row>
    <row r="377" spans="1:5">
      <c r="A377" t="s">
        <v>380</v>
      </c>
      <c r="B377">
        <v>191.63138813063671</v>
      </c>
      <c r="C377">
        <v>198.0189325117025</v>
      </c>
      <c r="D377">
        <v>1.953975079589387E-4</v>
      </c>
      <c r="E377">
        <v>1.953975079589387E-4</v>
      </c>
    </row>
    <row r="378" spans="1:5">
      <c r="A378" t="s">
        <v>381</v>
      </c>
      <c r="B378">
        <v>191.49155737771139</v>
      </c>
      <c r="C378">
        <v>197.87444085667309</v>
      </c>
      <c r="D378">
        <v>-7.2968606181589291E-4</v>
      </c>
      <c r="E378">
        <v>-7.2968606181589291E-4</v>
      </c>
    </row>
    <row r="379" spans="1:5">
      <c r="A379" t="s">
        <v>382</v>
      </c>
      <c r="B379">
        <v>189.36387555805689</v>
      </c>
      <c r="C379">
        <v>195.67583818117961</v>
      </c>
      <c r="D379">
        <v>-1.1111099877148639E-2</v>
      </c>
      <c r="E379">
        <v>-1.1111099877148639E-2</v>
      </c>
    </row>
    <row r="380" spans="1:5">
      <c r="A380" t="s">
        <v>383</v>
      </c>
      <c r="B380">
        <v>192.4410901572418</v>
      </c>
      <c r="C380">
        <v>198.85562389365711</v>
      </c>
      <c r="D380">
        <v>1.6250272604087401E-2</v>
      </c>
      <c r="E380">
        <v>1.6250272604087401E-2</v>
      </c>
    </row>
    <row r="381" spans="1:5">
      <c r="A381" t="s">
        <v>384</v>
      </c>
      <c r="B381">
        <v>193.57100370741469</v>
      </c>
      <c r="C381">
        <v>200.02320023497771</v>
      </c>
      <c r="D381">
        <v>5.8714775999744173E-3</v>
      </c>
      <c r="E381">
        <v>5.8714775999744173E-3</v>
      </c>
    </row>
    <row r="382" spans="1:5">
      <c r="A382" t="s">
        <v>385</v>
      </c>
      <c r="B382">
        <v>190.75584797239279</v>
      </c>
      <c r="C382">
        <v>197.11420845163161</v>
      </c>
      <c r="D382">
        <v>-1.4543271880105509E-2</v>
      </c>
      <c r="E382">
        <v>-1.4543271880105509E-2</v>
      </c>
    </row>
    <row r="383" spans="1:5">
      <c r="A383" t="s">
        <v>386</v>
      </c>
      <c r="B383">
        <v>189.7481625334577</v>
      </c>
      <c r="C383">
        <v>196.072934384413</v>
      </c>
      <c r="D383">
        <v>-5.2825926420929648E-3</v>
      </c>
      <c r="E383">
        <v>-5.2825926420930758E-3</v>
      </c>
    </row>
    <row r="384" spans="1:5">
      <c r="A384" t="s">
        <v>387</v>
      </c>
      <c r="B384">
        <v>192.35098269241399</v>
      </c>
      <c r="C384">
        <v>198.76251292592579</v>
      </c>
      <c r="D384">
        <v>1.371723511945655E-2</v>
      </c>
      <c r="E384">
        <v>1.371723511945655E-2</v>
      </c>
    </row>
    <row r="385" spans="1:5">
      <c r="A385" t="s">
        <v>388</v>
      </c>
      <c r="B385">
        <v>188.65879900100191</v>
      </c>
      <c r="C385">
        <v>194.94725969239951</v>
      </c>
      <c r="D385">
        <v>-1.919503420118307E-2</v>
      </c>
      <c r="E385">
        <v>-1.9195034201183181E-2</v>
      </c>
    </row>
    <row r="386" spans="1:5">
      <c r="A386" t="s">
        <v>389</v>
      </c>
      <c r="B386">
        <v>197.58947335573109</v>
      </c>
      <c r="C386">
        <v>204.1756153369746</v>
      </c>
      <c r="D386">
        <v>4.7337703844291923E-2</v>
      </c>
      <c r="E386">
        <v>4.7337703844291923E-2</v>
      </c>
    </row>
    <row r="387" spans="1:5">
      <c r="A387" t="s">
        <v>390</v>
      </c>
      <c r="B387">
        <v>196.82016970593489</v>
      </c>
      <c r="C387">
        <v>203.3806689088552</v>
      </c>
      <c r="D387">
        <v>-3.8934445075988759E-3</v>
      </c>
      <c r="E387">
        <v>-3.8934445075988759E-3</v>
      </c>
    </row>
    <row r="388" spans="1:5">
      <c r="A388" t="s">
        <v>391</v>
      </c>
      <c r="B388">
        <v>197.85153221989421</v>
      </c>
      <c r="C388">
        <v>204.446409266106</v>
      </c>
      <c r="D388">
        <v>5.2401261288426149E-3</v>
      </c>
      <c r="E388">
        <v>5.2401261288426149E-3</v>
      </c>
    </row>
    <row r="389" spans="1:5">
      <c r="A389" t="s">
        <v>392</v>
      </c>
      <c r="B389">
        <v>197.8186818744897</v>
      </c>
      <c r="C389">
        <v>204.41246393808279</v>
      </c>
      <c r="D389">
        <v>-1.6603533485903821E-4</v>
      </c>
      <c r="E389">
        <v>-1.6603533485903821E-4</v>
      </c>
    </row>
    <row r="390" spans="1:5">
      <c r="A390" t="s">
        <v>393</v>
      </c>
      <c r="B390">
        <v>200.92416018388889</v>
      </c>
      <c r="C390">
        <v>207.62145545958799</v>
      </c>
      <c r="D390">
        <v>1.5698609858140641E-2</v>
      </c>
      <c r="E390">
        <v>1.5698609858140641E-2</v>
      </c>
    </row>
    <row r="391" spans="1:5">
      <c r="A391" t="s">
        <v>394</v>
      </c>
      <c r="B391">
        <v>197.5307284381615</v>
      </c>
      <c r="C391">
        <v>204.11491230715731</v>
      </c>
      <c r="D391">
        <v>-1.68891174790613E-2</v>
      </c>
      <c r="E391">
        <v>-1.6889117479061411E-2</v>
      </c>
    </row>
    <row r="392" spans="1:5">
      <c r="A392" t="s">
        <v>395</v>
      </c>
      <c r="B392">
        <v>198.65146871795409</v>
      </c>
      <c r="C392">
        <v>205.27300961048681</v>
      </c>
      <c r="D392">
        <v>5.6737515659159854E-3</v>
      </c>
      <c r="E392">
        <v>5.6737515659159854E-3</v>
      </c>
    </row>
    <row r="393" spans="1:5">
      <c r="A393" t="s">
        <v>396</v>
      </c>
      <c r="B393">
        <v>199.21227952780171</v>
      </c>
      <c r="C393">
        <v>205.85251362071381</v>
      </c>
      <c r="D393">
        <v>2.8230891695240068E-3</v>
      </c>
      <c r="E393">
        <v>2.8230891695240068E-3</v>
      </c>
    </row>
    <row r="394" spans="1:5">
      <c r="A394" t="s">
        <v>397</v>
      </c>
      <c r="B394">
        <v>199.62171717629451</v>
      </c>
      <c r="C394">
        <v>206.27559883068659</v>
      </c>
      <c r="D394">
        <v>2.055283185671275E-3</v>
      </c>
      <c r="E394">
        <v>2.055283185671275E-3</v>
      </c>
    </row>
    <row r="395" spans="1:5">
      <c r="A395" t="s">
        <v>398</v>
      </c>
      <c r="B395">
        <v>191.49319681676599</v>
      </c>
      <c r="C395">
        <v>197.87613494225411</v>
      </c>
      <c r="D395">
        <v>-4.0719619460791501E-2</v>
      </c>
      <c r="E395">
        <v>-4.0719619460791501E-2</v>
      </c>
    </row>
    <row r="396" spans="1:5">
      <c r="A396" t="s">
        <v>399</v>
      </c>
      <c r="B396">
        <v>194.1708909369118</v>
      </c>
      <c r="C396">
        <v>200.64308317780441</v>
      </c>
      <c r="D396">
        <v>1.3983233684839339E-2</v>
      </c>
      <c r="E396">
        <v>1.3983233684839339E-2</v>
      </c>
    </row>
    <row r="397" spans="1:5">
      <c r="A397" t="s">
        <v>400</v>
      </c>
      <c r="B397">
        <v>191.72699197071469</v>
      </c>
      <c r="C397">
        <v>198.11772306235781</v>
      </c>
      <c r="D397">
        <v>-1.2586330290831669E-2</v>
      </c>
      <c r="E397">
        <v>-1.2586330290831669E-2</v>
      </c>
    </row>
    <row r="398" spans="1:5">
      <c r="A398" t="s">
        <v>401</v>
      </c>
      <c r="B398">
        <v>197.57053455680551</v>
      </c>
      <c r="C398">
        <v>204.1560452614097</v>
      </c>
      <c r="D398">
        <v>3.0478455464336921E-2</v>
      </c>
      <c r="E398">
        <v>3.0478455464336921E-2</v>
      </c>
    </row>
    <row r="399" spans="1:5">
      <c r="A399" t="s">
        <v>402</v>
      </c>
      <c r="B399">
        <v>198.32607830103109</v>
      </c>
      <c r="C399">
        <v>204.93677313254261</v>
      </c>
      <c r="D399">
        <v>3.8241721920757592E-3</v>
      </c>
      <c r="E399">
        <v>3.8241721920757592E-3</v>
      </c>
    </row>
    <row r="400" spans="1:5">
      <c r="A400" t="s">
        <v>403</v>
      </c>
      <c r="B400">
        <v>200.43304444187561</v>
      </c>
      <c r="C400">
        <v>207.11396962482019</v>
      </c>
      <c r="D400">
        <v>1.062374730995486E-2</v>
      </c>
      <c r="E400">
        <v>1.062374730995486E-2</v>
      </c>
    </row>
    <row r="401" spans="1:5">
      <c r="A401" t="s">
        <v>404</v>
      </c>
      <c r="B401">
        <v>195.79354546807409</v>
      </c>
      <c r="C401">
        <v>202.3198247660718</v>
      </c>
      <c r="D401">
        <v>-2.3147375657146089E-2</v>
      </c>
      <c r="E401">
        <v>-2.3147375657146089E-2</v>
      </c>
    </row>
    <row r="402" spans="1:5">
      <c r="A402" t="s">
        <v>405</v>
      </c>
      <c r="B402">
        <v>195.48028971774571</v>
      </c>
      <c r="C402">
        <v>201.99612743293511</v>
      </c>
      <c r="D402">
        <v>-1.5999288923416179E-3</v>
      </c>
      <c r="E402">
        <v>-1.5999288923416179E-3</v>
      </c>
    </row>
    <row r="403" spans="1:5">
      <c r="A403" t="s">
        <v>406</v>
      </c>
      <c r="B403">
        <v>195.7491527142399</v>
      </c>
      <c r="C403">
        <v>202.27395229282379</v>
      </c>
      <c r="D403">
        <v>1.3753969614145321E-3</v>
      </c>
      <c r="E403">
        <v>1.3753969614145321E-3</v>
      </c>
    </row>
    <row r="404" spans="1:5">
      <c r="A404" t="s">
        <v>407</v>
      </c>
      <c r="B404">
        <v>195.0218726802286</v>
      </c>
      <c r="C404">
        <v>201.52243023071881</v>
      </c>
      <c r="D404">
        <v>-3.7153674686551952E-3</v>
      </c>
      <c r="E404">
        <v>-3.7153674686551952E-3</v>
      </c>
    </row>
    <row r="405" spans="1:5">
      <c r="A405" t="s">
        <v>408</v>
      </c>
      <c r="B405">
        <v>195.46578591310191</v>
      </c>
      <c r="C405">
        <v>201.9811401808939</v>
      </c>
      <c r="D405">
        <v>2.2762227988712969E-3</v>
      </c>
      <c r="E405">
        <v>2.2762227988712969E-3</v>
      </c>
    </row>
    <row r="406" spans="1:5">
      <c r="A406" t="s">
        <v>409</v>
      </c>
      <c r="B406">
        <v>195.56892358450571</v>
      </c>
      <c r="C406">
        <v>202.0877156839592</v>
      </c>
      <c r="D406">
        <v>5.2765076466965155E-4</v>
      </c>
      <c r="E406">
        <v>5.2765076466965155E-4</v>
      </c>
    </row>
    <row r="407" spans="1:5">
      <c r="A407" t="s">
        <v>410</v>
      </c>
      <c r="B407">
        <v>199.04802780077901</v>
      </c>
      <c r="C407">
        <v>205.68278698059751</v>
      </c>
      <c r="D407">
        <v>1.7789657745751249E-2</v>
      </c>
      <c r="E407">
        <v>1.7789657745751249E-2</v>
      </c>
    </row>
    <row r="408" spans="1:5">
      <c r="A408" t="s">
        <v>411</v>
      </c>
      <c r="B408">
        <v>198.89369324321001</v>
      </c>
      <c r="C408">
        <v>205.52330807352689</v>
      </c>
      <c r="D408">
        <v>-7.7536340989803332E-4</v>
      </c>
      <c r="E408">
        <v>-7.753634098979223E-4</v>
      </c>
    </row>
    <row r="409" spans="1:5">
      <c r="A409" t="s">
        <v>412</v>
      </c>
      <c r="B409">
        <v>202.77468707657169</v>
      </c>
      <c r="C409">
        <v>209.53366495432601</v>
      </c>
      <c r="D409">
        <v>1.9512905462597981E-2</v>
      </c>
      <c r="E409">
        <v>1.9512905462597981E-2</v>
      </c>
    </row>
    <row r="410" spans="1:5">
      <c r="A410" t="s">
        <v>413</v>
      </c>
      <c r="B410">
        <v>206.4301776864622</v>
      </c>
      <c r="C410">
        <v>213.31100203588809</v>
      </c>
      <c r="D410">
        <v>1.8027351749827281E-2</v>
      </c>
      <c r="E410">
        <v>1.8027351749827281E-2</v>
      </c>
    </row>
    <row r="411" spans="1:5">
      <c r="A411" t="s">
        <v>414</v>
      </c>
      <c r="B411">
        <v>208.86490338227881</v>
      </c>
      <c r="C411">
        <v>215.82688311334371</v>
      </c>
      <c r="D411">
        <v>1.1794427167110429E-2</v>
      </c>
      <c r="E411">
        <v>1.1794427167110429E-2</v>
      </c>
    </row>
    <row r="412" spans="1:5">
      <c r="A412" t="s">
        <v>415</v>
      </c>
      <c r="B412">
        <v>212.04066901767729</v>
      </c>
      <c r="C412">
        <v>219.108504809891</v>
      </c>
      <c r="D412">
        <v>1.520487924955982E-2</v>
      </c>
      <c r="E412">
        <v>1.520487924955982E-2</v>
      </c>
    </row>
    <row r="413" spans="1:5">
      <c r="A413" t="s">
        <v>416</v>
      </c>
      <c r="B413">
        <v>211.20107804188191</v>
      </c>
      <c r="C413">
        <v>218.24092820672959</v>
      </c>
      <c r="D413">
        <v>-3.9595752064217624E-3</v>
      </c>
      <c r="E413">
        <v>-3.9595752064218734E-3</v>
      </c>
    </row>
    <row r="414" spans="1:5">
      <c r="A414" t="s">
        <v>417</v>
      </c>
      <c r="B414">
        <v>215.22027738919289</v>
      </c>
      <c r="C414">
        <v>223.1456220288236</v>
      </c>
      <c r="D414">
        <v>1.9030202802819089E-2</v>
      </c>
      <c r="E414">
        <v>2.24737580727663E-2</v>
      </c>
    </row>
    <row r="415" spans="1:5">
      <c r="A415" t="s">
        <v>418</v>
      </c>
      <c r="B415">
        <v>212.5658130950257</v>
      </c>
      <c r="C415">
        <v>220.39340883933821</v>
      </c>
      <c r="D415">
        <v>-1.2333709101986719E-2</v>
      </c>
      <c r="E415">
        <v>-1.233370910198661E-2</v>
      </c>
    </row>
    <row r="416" spans="1:5">
      <c r="A416" t="s">
        <v>419</v>
      </c>
      <c r="B416">
        <v>215.69877838939689</v>
      </c>
      <c r="C416">
        <v>223.64174351248309</v>
      </c>
      <c r="D416">
        <v>1.473880135640915E-2</v>
      </c>
      <c r="E416">
        <v>1.473880135640915E-2</v>
      </c>
    </row>
    <row r="417" spans="1:5">
      <c r="A417" t="s">
        <v>420</v>
      </c>
      <c r="B417">
        <v>212.12574329163081</v>
      </c>
      <c r="C417">
        <v>219.93713375594041</v>
      </c>
      <c r="D417">
        <v>-1.6564929687806429E-2</v>
      </c>
      <c r="E417">
        <v>-1.6564929687806321E-2</v>
      </c>
    </row>
    <row r="418" spans="1:5">
      <c r="A418" t="s">
        <v>421</v>
      </c>
      <c r="B418">
        <v>216.34220890288509</v>
      </c>
      <c r="C418">
        <v>224.30886792987721</v>
      </c>
      <c r="D418">
        <v>1.9877198994454389E-2</v>
      </c>
      <c r="E418">
        <v>1.9877198994454389E-2</v>
      </c>
    </row>
    <row r="419" spans="1:5">
      <c r="A419" t="s">
        <v>422</v>
      </c>
      <c r="B419">
        <v>223.00691046796771</v>
      </c>
      <c r="C419">
        <v>231.21899273046671</v>
      </c>
      <c r="D419">
        <v>3.0806293413017331E-2</v>
      </c>
      <c r="E419">
        <v>3.0806293413017331E-2</v>
      </c>
    </row>
    <row r="420" spans="1:5">
      <c r="A420" t="s">
        <v>423</v>
      </c>
      <c r="B420">
        <v>222.77767119203111</v>
      </c>
      <c r="C420">
        <v>230.98131186952349</v>
      </c>
      <c r="D420">
        <v>-1.027946961174808E-3</v>
      </c>
      <c r="E420">
        <v>-1.027946961174808E-3</v>
      </c>
    </row>
    <row r="421" spans="1:5">
      <c r="A421" t="s">
        <v>424</v>
      </c>
      <c r="B421">
        <v>220.52248258157789</v>
      </c>
      <c r="C421">
        <v>228.64307742722761</v>
      </c>
      <c r="D421">
        <v>-1.012304598744662E-2</v>
      </c>
      <c r="E421">
        <v>-1.012304598744662E-2</v>
      </c>
    </row>
    <row r="422" spans="1:5">
      <c r="A422" t="s">
        <v>425</v>
      </c>
      <c r="B422">
        <v>216.53089577318281</v>
      </c>
      <c r="C422">
        <v>224.504503069614</v>
      </c>
      <c r="D422">
        <v>-1.8100588936180498E-2</v>
      </c>
      <c r="E422">
        <v>-1.810058893618061E-2</v>
      </c>
    </row>
    <row r="423" spans="1:5">
      <c r="A423" t="s">
        <v>426</v>
      </c>
      <c r="B423">
        <v>217.037009896104</v>
      </c>
      <c r="C423">
        <v>225.02925451100629</v>
      </c>
      <c r="D423">
        <v>2.337376017930382E-3</v>
      </c>
      <c r="E423">
        <v>2.337376017930382E-3</v>
      </c>
    </row>
    <row r="424" spans="1:5">
      <c r="A424" t="s">
        <v>427</v>
      </c>
      <c r="B424">
        <v>219.91697855752511</v>
      </c>
      <c r="C424">
        <v>228.01527611720559</v>
      </c>
      <c r="D424">
        <v>1.326948183998544E-2</v>
      </c>
      <c r="E424">
        <v>1.326948183998544E-2</v>
      </c>
    </row>
    <row r="425" spans="1:5">
      <c r="A425" t="s">
        <v>428</v>
      </c>
      <c r="B425">
        <v>226.1783069591479</v>
      </c>
      <c r="C425">
        <v>234.5071738038732</v>
      </c>
      <c r="D425">
        <v>2.847132787423701E-2</v>
      </c>
      <c r="E425">
        <v>2.847132787423701E-2</v>
      </c>
    </row>
    <row r="426" spans="1:5">
      <c r="A426" t="s">
        <v>429</v>
      </c>
      <c r="B426">
        <v>231.67903176206769</v>
      </c>
      <c r="C426">
        <v>240.21045916641941</v>
      </c>
      <c r="D426">
        <v>2.432030231755733E-2</v>
      </c>
      <c r="E426">
        <v>2.432030231755733E-2</v>
      </c>
    </row>
    <row r="427" spans="1:5">
      <c r="A427" t="s">
        <v>430</v>
      </c>
      <c r="B427">
        <v>236.95972166329</v>
      </c>
      <c r="C427">
        <v>245.6856069872666</v>
      </c>
      <c r="D427">
        <v>2.279312832524916E-2</v>
      </c>
      <c r="E427">
        <v>2.279312832524916E-2</v>
      </c>
    </row>
    <row r="428" spans="1:5">
      <c r="A428" t="s">
        <v>431</v>
      </c>
      <c r="B428">
        <v>233.74491590417949</v>
      </c>
      <c r="C428">
        <v>242.35241812829449</v>
      </c>
      <c r="D428">
        <v>-1.3566886965197139E-2</v>
      </c>
      <c r="E428">
        <v>-1.356688696519703E-2</v>
      </c>
    </row>
    <row r="429" spans="1:5">
      <c r="A429" t="s">
        <v>432</v>
      </c>
      <c r="B429">
        <v>237.31925286950289</v>
      </c>
      <c r="C429">
        <v>246.05837769280791</v>
      </c>
      <c r="D429">
        <v>1.529161372985177E-2</v>
      </c>
      <c r="E429">
        <v>1.529161372985177E-2</v>
      </c>
    </row>
    <row r="430" spans="1:5">
      <c r="A430" t="s">
        <v>433</v>
      </c>
      <c r="B430">
        <v>233.54292873342919</v>
      </c>
      <c r="C430">
        <v>242.1429929133208</v>
      </c>
      <c r="D430">
        <v>-1.5912422150385911E-2</v>
      </c>
      <c r="E430">
        <v>-1.5912422150386019E-2</v>
      </c>
    </row>
    <row r="431" spans="1:5">
      <c r="A431" t="s">
        <v>434</v>
      </c>
      <c r="B431">
        <v>233.89897783333689</v>
      </c>
      <c r="C431">
        <v>242.51215328629081</v>
      </c>
      <c r="D431">
        <v>1.5245552577363151E-3</v>
      </c>
      <c r="E431">
        <v>1.5245552577363151E-3</v>
      </c>
    </row>
    <row r="432" spans="1:5">
      <c r="A432" t="s">
        <v>435</v>
      </c>
      <c r="B432">
        <v>239.99554745517551</v>
      </c>
      <c r="C432">
        <v>248.83322505987229</v>
      </c>
      <c r="D432">
        <v>2.6064969066186491E-2</v>
      </c>
      <c r="E432">
        <v>2.6064969066186491E-2</v>
      </c>
    </row>
    <row r="433" spans="1:5">
      <c r="A433" t="s">
        <v>436</v>
      </c>
      <c r="B433">
        <v>244.25055625538519</v>
      </c>
      <c r="C433">
        <v>253.24492175025389</v>
      </c>
      <c r="D433">
        <v>1.7729532257278361E-2</v>
      </c>
      <c r="E433">
        <v>1.7729532257278361E-2</v>
      </c>
    </row>
    <row r="434" spans="1:5">
      <c r="A434" t="s">
        <v>437</v>
      </c>
      <c r="B434">
        <v>239.12914970189681</v>
      </c>
      <c r="C434">
        <v>247.93492278127181</v>
      </c>
      <c r="D434">
        <v>-2.0967839877234381E-2</v>
      </c>
      <c r="E434">
        <v>-2.0967839877234381E-2</v>
      </c>
    </row>
    <row r="435" spans="1:5">
      <c r="A435" t="s">
        <v>438</v>
      </c>
      <c r="B435">
        <v>244.56230291336229</v>
      </c>
      <c r="C435">
        <v>253.56814827311501</v>
      </c>
      <c r="D435">
        <v>2.272058098411911E-2</v>
      </c>
      <c r="E435">
        <v>2.272058098411911E-2</v>
      </c>
    </row>
    <row r="436" spans="1:5">
      <c r="A436" t="s">
        <v>439</v>
      </c>
      <c r="B436">
        <v>244.67204300856761</v>
      </c>
      <c r="C436">
        <v>253.68192947488259</v>
      </c>
      <c r="D436">
        <v>4.4872040334098529E-4</v>
      </c>
      <c r="E436">
        <v>4.4872040334098529E-4</v>
      </c>
    </row>
    <row r="437" spans="1:5">
      <c r="A437" t="s">
        <v>440</v>
      </c>
      <c r="B437">
        <v>242.07268966335309</v>
      </c>
      <c r="C437">
        <v>250.98685665866421</v>
      </c>
      <c r="D437">
        <v>-1.062382654451244E-2</v>
      </c>
      <c r="E437">
        <v>-1.062382654451233E-2</v>
      </c>
    </row>
    <row r="438" spans="1:5">
      <c r="A438" t="s">
        <v>441</v>
      </c>
      <c r="B438">
        <v>240.2322830700993</v>
      </c>
      <c r="C438">
        <v>249.0786783075373</v>
      </c>
      <c r="D438">
        <v>-7.6027022949729517E-3</v>
      </c>
      <c r="E438">
        <v>-7.6027022949729517E-3</v>
      </c>
    </row>
    <row r="439" spans="1:5">
      <c r="A439" t="s">
        <v>442</v>
      </c>
      <c r="B439">
        <v>245.9584143901711</v>
      </c>
      <c r="C439">
        <v>255.01567063343009</v>
      </c>
      <c r="D439">
        <v>2.3835811102877361E-2</v>
      </c>
      <c r="E439">
        <v>2.3835811102877361E-2</v>
      </c>
    </row>
    <row r="440" spans="1:5">
      <c r="A440" t="s">
        <v>443</v>
      </c>
      <c r="B440">
        <v>245.5789410141908</v>
      </c>
      <c r="C440">
        <v>254.62222340088439</v>
      </c>
      <c r="D440">
        <v>-1.5428355111215539E-3</v>
      </c>
      <c r="E440">
        <v>-1.5428355111215539E-3</v>
      </c>
    </row>
    <row r="441" spans="1:5">
      <c r="A441" t="s">
        <v>444</v>
      </c>
      <c r="B441">
        <v>250.41485262438579</v>
      </c>
      <c r="C441">
        <v>259.63621426375261</v>
      </c>
      <c r="D441">
        <v>1.9691882334143429E-2</v>
      </c>
      <c r="E441">
        <v>1.9691882334143429E-2</v>
      </c>
    </row>
    <row r="442" spans="1:5">
      <c r="A442" t="s">
        <v>445</v>
      </c>
      <c r="B442">
        <v>249.84656887507469</v>
      </c>
      <c r="C442">
        <v>259.04700384051921</v>
      </c>
      <c r="D442">
        <v>-2.269369182200887E-3</v>
      </c>
      <c r="E442">
        <v>-2.269369182200887E-3</v>
      </c>
    </row>
    <row r="443" spans="1:5">
      <c r="A443" t="s">
        <v>446</v>
      </c>
      <c r="B443">
        <v>248.5746060873517</v>
      </c>
      <c r="C443">
        <v>257.72820186281012</v>
      </c>
      <c r="D443">
        <v>-5.0909756073493906E-3</v>
      </c>
      <c r="E443">
        <v>-5.0909756073493906E-3</v>
      </c>
    </row>
    <row r="444" spans="1:5">
      <c r="A444" t="s">
        <v>447</v>
      </c>
      <c r="B444">
        <v>249.38036260741461</v>
      </c>
      <c r="C444">
        <v>258.56362983481318</v>
      </c>
      <c r="D444">
        <v>3.2415077820928668E-3</v>
      </c>
      <c r="E444">
        <v>3.2415077820928668E-3</v>
      </c>
    </row>
    <row r="445" spans="1:5">
      <c r="A445" t="s">
        <v>448</v>
      </c>
      <c r="B445">
        <v>247.98235971724409</v>
      </c>
      <c r="C445">
        <v>257.11414641108797</v>
      </c>
      <c r="D445">
        <v>-5.6059060767796884E-3</v>
      </c>
      <c r="E445">
        <v>-5.6059060767797986E-3</v>
      </c>
    </row>
    <row r="446" spans="1:5">
      <c r="A446" t="s">
        <v>449</v>
      </c>
      <c r="B446">
        <v>241.65020873801561</v>
      </c>
      <c r="C446">
        <v>250.54881815214711</v>
      </c>
      <c r="D446">
        <v>-2.5534683138141889E-2</v>
      </c>
      <c r="E446">
        <v>-2.5534683138141889E-2</v>
      </c>
    </row>
    <row r="447" spans="1:5">
      <c r="A447" t="s">
        <v>450</v>
      </c>
      <c r="B447">
        <v>242.60005611693151</v>
      </c>
      <c r="C447">
        <v>251.5336430337606</v>
      </c>
      <c r="D447">
        <v>3.9306706328803287E-3</v>
      </c>
      <c r="E447">
        <v>3.9306706328803287E-3</v>
      </c>
    </row>
    <row r="448" spans="1:5">
      <c r="A448" t="s">
        <v>451</v>
      </c>
      <c r="B448">
        <v>241.39466581883681</v>
      </c>
      <c r="C448">
        <v>250.28386503366329</v>
      </c>
      <c r="D448">
        <v>-4.9686315716008789E-3</v>
      </c>
      <c r="E448">
        <v>-4.9686315716008789E-3</v>
      </c>
    </row>
    <row r="449" spans="1:5">
      <c r="A449" t="s">
        <v>452</v>
      </c>
      <c r="B449">
        <v>244.20295115539071</v>
      </c>
      <c r="C449">
        <v>253.195563623878</v>
      </c>
      <c r="D449">
        <v>1.163358488899457E-2</v>
      </c>
      <c r="E449">
        <v>1.163358488899457E-2</v>
      </c>
    </row>
    <row r="450" spans="1:5">
      <c r="A450" t="s">
        <v>453</v>
      </c>
      <c r="B450">
        <v>242.40033864804701</v>
      </c>
      <c r="C450">
        <v>251.32657110092549</v>
      </c>
      <c r="D450">
        <v>-7.3816163924927958E-3</v>
      </c>
      <c r="E450">
        <v>-7.3816163924927958E-3</v>
      </c>
    </row>
    <row r="451" spans="1:5">
      <c r="A451" t="s">
        <v>454</v>
      </c>
      <c r="B451">
        <v>244.10049538523549</v>
      </c>
      <c r="C451">
        <v>253.0893349876219</v>
      </c>
      <c r="D451">
        <v>7.013838126922467E-3</v>
      </c>
      <c r="E451">
        <v>7.013838126922467E-3</v>
      </c>
    </row>
    <row r="452" spans="1:5">
      <c r="A452" t="s">
        <v>455</v>
      </c>
      <c r="B452">
        <v>241.89864678038549</v>
      </c>
      <c r="C452">
        <v>250.80640476142361</v>
      </c>
      <c r="D452">
        <v>-9.0202545528436096E-3</v>
      </c>
      <c r="E452">
        <v>-9.0202545528436096E-3</v>
      </c>
    </row>
    <row r="453" spans="1:5">
      <c r="A453" t="s">
        <v>456</v>
      </c>
      <c r="B453">
        <v>236.25329770355961</v>
      </c>
      <c r="C453">
        <v>244.9531694315568</v>
      </c>
      <c r="D453">
        <v>-2.3337662909504231E-2</v>
      </c>
      <c r="E453">
        <v>-2.3337662909504338E-2</v>
      </c>
    </row>
    <row r="454" spans="1:5">
      <c r="A454" t="s">
        <v>457</v>
      </c>
      <c r="B454">
        <v>237.9369555932432</v>
      </c>
      <c r="C454">
        <v>246.69882691158031</v>
      </c>
      <c r="D454">
        <v>7.126494766630298E-3</v>
      </c>
      <c r="E454">
        <v>7.126494766630298E-3</v>
      </c>
    </row>
    <row r="455" spans="1:5">
      <c r="A455" t="s">
        <v>458</v>
      </c>
      <c r="B455">
        <v>231.49659703568841</v>
      </c>
      <c r="C455">
        <v>240.02130640167329</v>
      </c>
      <c r="D455">
        <v>-2.7067500050579119E-2</v>
      </c>
      <c r="E455">
        <v>-2.7067500050579119E-2</v>
      </c>
    </row>
    <row r="456" spans="1:5">
      <c r="A456" t="s">
        <v>459</v>
      </c>
      <c r="B456">
        <v>229.93149608313939</v>
      </c>
      <c r="C456">
        <v>238.39857163973031</v>
      </c>
      <c r="D456">
        <v>-6.7607946405698893E-3</v>
      </c>
      <c r="E456">
        <v>-6.7607946405698893E-3</v>
      </c>
    </row>
    <row r="457" spans="1:5">
      <c r="A457" t="s">
        <v>460</v>
      </c>
      <c r="B457">
        <v>239.95349532308919</v>
      </c>
      <c r="C457">
        <v>248.7896243857821</v>
      </c>
      <c r="D457">
        <v>4.358689179461539E-2</v>
      </c>
      <c r="E457">
        <v>4.358689179461539E-2</v>
      </c>
    </row>
    <row r="458" spans="1:5">
      <c r="A458" t="s">
        <v>461</v>
      </c>
      <c r="B458">
        <v>228.21157662442471</v>
      </c>
      <c r="C458">
        <v>236.61531728233379</v>
      </c>
      <c r="D458">
        <v>-4.8934143188263952E-2</v>
      </c>
      <c r="E458">
        <v>-4.8934143188263952E-2</v>
      </c>
    </row>
    <row r="459" spans="1:5">
      <c r="A459" t="s">
        <v>462</v>
      </c>
      <c r="B459">
        <v>226.3729013883127</v>
      </c>
      <c r="C459">
        <v>234.70893404443271</v>
      </c>
      <c r="D459">
        <v>-8.0568885387350964E-3</v>
      </c>
      <c r="E459">
        <v>-8.0568885387349853E-3</v>
      </c>
    </row>
    <row r="460" spans="1:5">
      <c r="A460" t="s">
        <v>463</v>
      </c>
      <c r="B460">
        <v>232.26975354126671</v>
      </c>
      <c r="C460">
        <v>240.82293388517911</v>
      </c>
      <c r="D460">
        <v>2.6049284683764991E-2</v>
      </c>
      <c r="E460">
        <v>2.6049284683764991E-2</v>
      </c>
    </row>
    <row r="461" spans="1:5">
      <c r="A461" t="s">
        <v>464</v>
      </c>
      <c r="B461">
        <v>236.95797091412649</v>
      </c>
      <c r="C461">
        <v>245.68379176792101</v>
      </c>
      <c r="D461">
        <v>2.0184364521775189E-2</v>
      </c>
      <c r="E461">
        <v>2.0184364521775189E-2</v>
      </c>
    </row>
    <row r="462" spans="1:5">
      <c r="A462" t="s">
        <v>465</v>
      </c>
      <c r="B462">
        <v>236.50117800918409</v>
      </c>
      <c r="C462">
        <v>245.21017776580069</v>
      </c>
      <c r="D462">
        <v>-1.927738084438579E-3</v>
      </c>
      <c r="E462">
        <v>-1.927738084438579E-3</v>
      </c>
    </row>
    <row r="463" spans="1:5">
      <c r="A463" t="s">
        <v>466</v>
      </c>
      <c r="B463">
        <v>236.65752903222881</v>
      </c>
      <c r="C463">
        <v>245.37228631205559</v>
      </c>
      <c r="D463">
        <v>6.6110039857214531E-4</v>
      </c>
      <c r="E463">
        <v>6.6110039857214531E-4</v>
      </c>
    </row>
    <row r="464" spans="1:5">
      <c r="A464" t="s">
        <v>467</v>
      </c>
      <c r="B464">
        <v>232.68705978720021</v>
      </c>
      <c r="C464">
        <v>241.25560715813921</v>
      </c>
      <c r="D464">
        <v>-1.6777278378867111E-2</v>
      </c>
      <c r="E464">
        <v>-1.6777278378867111E-2</v>
      </c>
    </row>
    <row r="465" spans="1:5">
      <c r="A465" t="s">
        <v>468</v>
      </c>
      <c r="B465">
        <v>235.7811989635301</v>
      </c>
      <c r="C465">
        <v>244.46368596707649</v>
      </c>
      <c r="D465">
        <v>1.3297426935385159E-2</v>
      </c>
      <c r="E465">
        <v>1.3297426935385159E-2</v>
      </c>
    </row>
    <row r="466" spans="1:5">
      <c r="A466" t="s">
        <v>469</v>
      </c>
      <c r="B466">
        <v>239.13816538408889</v>
      </c>
      <c r="C466">
        <v>247.94427046000911</v>
      </c>
      <c r="D466">
        <v>1.4237634023898989E-2</v>
      </c>
      <c r="E466">
        <v>1.4237634023898989E-2</v>
      </c>
    </row>
    <row r="467" spans="1:5">
      <c r="A467" t="s">
        <v>470</v>
      </c>
      <c r="B467">
        <v>238.56434805889111</v>
      </c>
      <c r="C467">
        <v>247.3493226906098</v>
      </c>
      <c r="D467">
        <v>-2.3995221518751109E-3</v>
      </c>
      <c r="E467">
        <v>-2.3995221518751109E-3</v>
      </c>
    </row>
    <row r="468" spans="1:5">
      <c r="A468" t="s">
        <v>471</v>
      </c>
      <c r="B468">
        <v>240.61346841119999</v>
      </c>
      <c r="C468">
        <v>249.47390054718889</v>
      </c>
      <c r="D468">
        <v>8.5893821477596166E-3</v>
      </c>
      <c r="E468">
        <v>8.5893821477596166E-3</v>
      </c>
    </row>
    <row r="469" spans="1:5">
      <c r="A469" t="s">
        <v>472</v>
      </c>
      <c r="B469">
        <v>245.7009024895446</v>
      </c>
      <c r="C469">
        <v>254.7486760270566</v>
      </c>
      <c r="D469">
        <v>2.114359645757791E-2</v>
      </c>
      <c r="E469">
        <v>2.114359645757791E-2</v>
      </c>
    </row>
    <row r="470" spans="1:5">
      <c r="A470" t="s">
        <v>473</v>
      </c>
      <c r="B470">
        <v>243.66461943019411</v>
      </c>
      <c r="C470">
        <v>252.63740818827469</v>
      </c>
      <c r="D470">
        <v>-8.2876498975708035E-3</v>
      </c>
      <c r="E470">
        <v>-8.2876498975708035E-3</v>
      </c>
    </row>
    <row r="471" spans="1:5">
      <c r="A471" t="s">
        <v>474</v>
      </c>
      <c r="B471">
        <v>247.0879595001183</v>
      </c>
      <c r="C471">
        <v>256.18681049639468</v>
      </c>
      <c r="D471">
        <v>1.4049393292836941E-2</v>
      </c>
      <c r="E471">
        <v>1.4049393292836941E-2</v>
      </c>
    </row>
    <row r="472" spans="1:5">
      <c r="A472" t="s">
        <v>475</v>
      </c>
      <c r="B472">
        <v>241.17825066218441</v>
      </c>
      <c r="C472">
        <v>250.80182559497081</v>
      </c>
      <c r="D472">
        <v>-2.3917429444517802E-2</v>
      </c>
      <c r="E472">
        <v>-2.1019758554274511E-2</v>
      </c>
    </row>
    <row r="473" spans="1:5">
      <c r="A473" t="s">
        <v>476</v>
      </c>
      <c r="B473">
        <v>242.58437410687111</v>
      </c>
      <c r="C473">
        <v>252.264056645951</v>
      </c>
      <c r="D473">
        <v>5.8302249096924266E-3</v>
      </c>
      <c r="E473">
        <v>5.8302249096924266E-3</v>
      </c>
    </row>
    <row r="474" spans="1:5">
      <c r="A474" t="s">
        <v>477</v>
      </c>
      <c r="B474">
        <v>237.6424849831001</v>
      </c>
      <c r="C474">
        <v>247.1249746154335</v>
      </c>
      <c r="D474">
        <v>-2.0371836157895951E-2</v>
      </c>
      <c r="E474">
        <v>-2.0371836157895951E-2</v>
      </c>
    </row>
    <row r="475" spans="1:5">
      <c r="A475" t="s">
        <v>478</v>
      </c>
      <c r="B475">
        <v>234.92706389709599</v>
      </c>
      <c r="C475">
        <v>244.3012018923167</v>
      </c>
      <c r="D475">
        <v>-1.142649676549712E-2</v>
      </c>
      <c r="E475">
        <v>-1.142649676549712E-2</v>
      </c>
    </row>
    <row r="476" spans="1:5">
      <c r="A476" t="s">
        <v>479</v>
      </c>
      <c r="B476">
        <v>233.93892427263771</v>
      </c>
      <c r="C476">
        <v>243.27363319125661</v>
      </c>
      <c r="D476">
        <v>-4.206154914919491E-3</v>
      </c>
      <c r="E476">
        <v>-4.206154914919491E-3</v>
      </c>
    </row>
    <row r="477" spans="1:5">
      <c r="A477" t="s">
        <v>480</v>
      </c>
      <c r="B477">
        <v>233.91544970023531</v>
      </c>
      <c r="C477">
        <v>243.24922192864301</v>
      </c>
      <c r="D477">
        <v>-1.003448762338932E-4</v>
      </c>
      <c r="E477">
        <v>-1.003448762338932E-4</v>
      </c>
    </row>
    <row r="478" spans="1:5">
      <c r="A478" t="s">
        <v>481</v>
      </c>
      <c r="B478">
        <v>234.62106341948709</v>
      </c>
      <c r="C478">
        <v>243.9829912816727</v>
      </c>
      <c r="D478">
        <v>3.0165331967431101E-3</v>
      </c>
      <c r="E478">
        <v>3.0165331967431101E-3</v>
      </c>
    </row>
    <row r="479" spans="1:5">
      <c r="A479" t="s">
        <v>482</v>
      </c>
      <c r="B479">
        <v>240.42641329148009</v>
      </c>
      <c r="C479">
        <v>250.01998815894399</v>
      </c>
      <c r="D479">
        <v>2.4743515298169871E-2</v>
      </c>
      <c r="E479">
        <v>2.4743515298169871E-2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3E18-401F-4B04-998D-F8B86A129597}">
  <sheetPr codeName="工作表2"/>
  <dimension ref="A1:Y479"/>
  <sheetViews>
    <sheetView tabSelected="1" zoomScale="140" zoomScaleNormal="140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E44" sqref="E44"/>
    </sheetView>
  </sheetViews>
  <sheetFormatPr baseColWidth="10" defaultColWidth="9" defaultRowHeight="14"/>
  <cols>
    <col min="1" max="1" width="11.19921875" style="9" bestFit="1" customWidth="1"/>
    <col min="7" max="9" width="9" style="3"/>
    <col min="10" max="10" width="13.3984375" style="3" bestFit="1" customWidth="1"/>
    <col min="11" max="14" width="13.3984375" style="3" customWidth="1"/>
    <col min="16" max="25" width="9" style="11"/>
  </cols>
  <sheetData>
    <row r="1" spans="1:24">
      <c r="A1" s="8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t="s">
        <v>500</v>
      </c>
      <c r="G1" s="3">
        <v>2308</v>
      </c>
      <c r="H1" s="3">
        <v>2317</v>
      </c>
      <c r="I1" s="3">
        <v>2330</v>
      </c>
      <c r="J1" s="3">
        <v>2454</v>
      </c>
      <c r="K1" s="3">
        <v>2308</v>
      </c>
      <c r="L1" s="3">
        <v>2317</v>
      </c>
      <c r="M1" s="3">
        <v>2330</v>
      </c>
      <c r="N1" s="3">
        <v>2454</v>
      </c>
      <c r="O1" s="2" t="s">
        <v>501</v>
      </c>
      <c r="P1" s="10"/>
      <c r="Q1" s="10"/>
      <c r="R1" s="10"/>
      <c r="S1" s="10"/>
      <c r="U1" s="10"/>
      <c r="V1" s="10"/>
      <c r="W1" s="10"/>
      <c r="X1" s="10"/>
    </row>
    <row r="2" spans="1:24">
      <c r="A2" s="9" t="s">
        <v>5</v>
      </c>
      <c r="B2">
        <v>0</v>
      </c>
      <c r="C2">
        <v>8.065275799830085E-2</v>
      </c>
      <c r="D2">
        <v>0.83447277966633893</v>
      </c>
      <c r="E2">
        <v>8.487446233536021E-2</v>
      </c>
      <c r="F2">
        <f>SUM(B2:E2)</f>
        <v>1</v>
      </c>
      <c r="K2" s="3">
        <f>IFERROR(G3/每日收盤價!B2,0)</f>
        <v>0</v>
      </c>
      <c r="L2" s="3">
        <f>IFERROR(H3/每日收盤價!C2,0)</f>
        <v>0</v>
      </c>
      <c r="M2" s="3">
        <f>IFERROR(I3/每日收盤價!D2,0)</f>
        <v>0</v>
      </c>
      <c r="N2" s="3">
        <f>IFERROR(J3/每日收盤價!E2,0)</f>
        <v>2.5813221406086044E-2</v>
      </c>
      <c r="O2">
        <f>SUM(K2:N2)</f>
        <v>2.5813221406086044E-2</v>
      </c>
    </row>
    <row r="3" spans="1:24">
      <c r="A3" s="9" t="s">
        <v>6</v>
      </c>
      <c r="B3">
        <f>B2*(1+$O2)*(1+每日報酬率!B3)</f>
        <v>0</v>
      </c>
      <c r="C3">
        <f>C2*(1+每日報酬率!C3)*(1+$E2*$O2)</f>
        <v>8.0442714956025271E-2</v>
      </c>
      <c r="D3">
        <f>D2*(1+每日報酬率!D3)*(1+$E2*$O2)</f>
        <v>0.83919478726207841</v>
      </c>
      <c r="E3">
        <f>E2*(1+每日報酬率!E3-O2)*(1+$E2*$O2)</f>
        <v>8.0633343694544307E-2</v>
      </c>
      <c r="F3">
        <f t="shared" ref="F3:F66" si="0">SUM(B3:E3)</f>
        <v>1.0002708459126479</v>
      </c>
      <c r="J3" s="4">
        <v>24.6</v>
      </c>
      <c r="K3" s="3">
        <f>IFERROR(G4/每日收盤價!B3,0)</f>
        <v>0</v>
      </c>
      <c r="L3" s="3">
        <f>IFERROR(H4/每日收盤價!C3,0)</f>
        <v>0</v>
      </c>
      <c r="M3" s="3">
        <f>IFERROR(I4/每日收盤價!D3,0)</f>
        <v>0</v>
      </c>
      <c r="N3" s="3">
        <f>IFERROR(J4/每日收盤價!E3,0)</f>
        <v>0</v>
      </c>
      <c r="O3">
        <f t="shared" ref="O3:O66" si="1">SUM(K3:N3)</f>
        <v>0</v>
      </c>
    </row>
    <row r="4" spans="1:24">
      <c r="A4" s="9" t="s">
        <v>7</v>
      </c>
      <c r="B4">
        <f>B3*(1+$CD$2)*(1+每日報酬率!B4)</f>
        <v>0</v>
      </c>
      <c r="C4">
        <f>C3*(1+$CD$2)*(1+每日報酬率!C4)</f>
        <v>8.0442714956025271E-2</v>
      </c>
      <c r="D4">
        <f>D3*(1+$CD$2)*(1+每日報酬率!D4)</f>
        <v>0.83340723700509856</v>
      </c>
      <c r="E4">
        <f>E3*(1+$CD$2)*(1+每日報酬率!E4)</f>
        <v>8.0025118041675974E-2</v>
      </c>
      <c r="F4">
        <f t="shared" si="0"/>
        <v>0.99387507000279984</v>
      </c>
      <c r="K4" s="3">
        <f>IFERROR(G5/每日收盤價!B4,0)</f>
        <v>0</v>
      </c>
      <c r="L4" s="3">
        <f>IFERROR(H5/每日收盤價!C4,0)</f>
        <v>0</v>
      </c>
      <c r="M4" s="3">
        <f>IFERROR(I5/每日收盤價!D4,0)</f>
        <v>0</v>
      </c>
      <c r="N4" s="3">
        <f>IFERROR(J5/每日收盤價!E4,0)</f>
        <v>0</v>
      </c>
      <c r="O4">
        <f t="shared" si="1"/>
        <v>0</v>
      </c>
    </row>
    <row r="5" spans="1:24">
      <c r="A5" s="9" t="s">
        <v>8</v>
      </c>
      <c r="B5">
        <f>B4*(1+$CD$2)*(1+每日報酬率!B5)</f>
        <v>0</v>
      </c>
      <c r="C5">
        <f>C4*(1+$CD$2)*(1+每日報酬率!C5)</f>
        <v>7.8508995846505433E-2</v>
      </c>
      <c r="D5">
        <f>D4*(1+$CD$2)*(1+每日報酬率!D5)</f>
        <v>0.84353544995481322</v>
      </c>
      <c r="E5">
        <f>E4*(1+$CD$2)*(1+每日報酬率!E5)</f>
        <v>7.9938228662694788E-2</v>
      </c>
      <c r="F5">
        <f t="shared" si="0"/>
        <v>1.0019826744640135</v>
      </c>
      <c r="K5" s="3">
        <f>IFERROR(G6/每日收盤價!B5,0)</f>
        <v>0</v>
      </c>
      <c r="L5" s="3">
        <f>IFERROR(H6/每日收盤價!C5,0)</f>
        <v>0</v>
      </c>
      <c r="M5" s="3">
        <f>IFERROR(I6/每日收盤價!D5,0)</f>
        <v>0</v>
      </c>
      <c r="N5" s="3">
        <f>IFERROR(J6/每日收盤價!E5,0)</f>
        <v>0</v>
      </c>
      <c r="O5">
        <f t="shared" si="1"/>
        <v>0</v>
      </c>
    </row>
    <row r="6" spans="1:24">
      <c r="A6" s="9" t="s">
        <v>9</v>
      </c>
      <c r="B6">
        <f>B5*(1+$CD$2)*(1+每日報酬率!B6)</f>
        <v>0</v>
      </c>
      <c r="C6">
        <f>C5*(1+$CD$2)*(1+每日報酬率!C6)</f>
        <v>7.8122252024601463E-2</v>
      </c>
      <c r="D6">
        <f>D5*(1+$CD$2)*(1+每日報酬率!D6)</f>
        <v>0.84787611264754814</v>
      </c>
      <c r="E6">
        <f>E5*(1+$CD$2)*(1+每日報酬率!E6)</f>
        <v>8.0633343694544307E-2</v>
      </c>
      <c r="F6">
        <f t="shared" si="0"/>
        <v>1.0066317083666938</v>
      </c>
      <c r="K6" s="3">
        <f>IFERROR(G7/每日收盤價!B6,0)</f>
        <v>0</v>
      </c>
      <c r="L6" s="3">
        <f>IFERROR(H7/每日收盤價!C6,0)</f>
        <v>0</v>
      </c>
      <c r="M6" s="3">
        <f>IFERROR(I7/每日收盤價!D6,0)</f>
        <v>0</v>
      </c>
      <c r="N6" s="3">
        <f>IFERROR(J7/每日收盤價!E6,0)</f>
        <v>0</v>
      </c>
      <c r="O6">
        <f t="shared" si="1"/>
        <v>0</v>
      </c>
    </row>
    <row r="7" spans="1:24">
      <c r="A7" s="9" t="s">
        <v>10</v>
      </c>
      <c r="B7">
        <f>B6*(1+$CD$2)*(1+每日報酬率!B7)</f>
        <v>0</v>
      </c>
      <c r="C7">
        <f>C6*(1+$CD$2)*(1+每日報酬率!C7)</f>
        <v>7.7348764380793522E-2</v>
      </c>
      <c r="D7">
        <f>D6*(1+$CD$2)*(1+每日報酬率!D7)</f>
        <v>0.84498233751905816</v>
      </c>
      <c r="E7">
        <f>E6*(1+$CD$2)*(1+每日報酬率!E7)</f>
        <v>8.0285786178619548E-2</v>
      </c>
      <c r="F7">
        <f t="shared" si="0"/>
        <v>1.0026168880784712</v>
      </c>
      <c r="K7" s="3">
        <f>IFERROR(G8/每日收盤價!B7,0)</f>
        <v>0</v>
      </c>
      <c r="L7" s="3">
        <f>IFERROR(H8/每日收盤價!C7,0)</f>
        <v>0</v>
      </c>
      <c r="M7" s="3">
        <f>IFERROR(I8/每日收盤價!D7,0)</f>
        <v>0</v>
      </c>
      <c r="N7" s="3">
        <f>IFERROR(J8/每日收盤價!E7,0)</f>
        <v>0</v>
      </c>
      <c r="O7">
        <f t="shared" si="1"/>
        <v>0</v>
      </c>
    </row>
    <row r="8" spans="1:24">
      <c r="A8" s="9" t="s">
        <v>11</v>
      </c>
      <c r="B8">
        <f>B7*(1+$CD$2)*(1+每日報酬率!B8)</f>
        <v>0</v>
      </c>
      <c r="C8">
        <f>C7*(1+$CD$2)*(1+每日報酬率!C8)</f>
        <v>7.7735508202697479E-2</v>
      </c>
      <c r="D8">
        <f>D7*(1+$CD$2)*(1+每日報酬率!D8)</f>
        <v>0.84787611264754803</v>
      </c>
      <c r="E8">
        <f>E7*(1+$CD$2)*(1+每日報酬率!E8)</f>
        <v>7.9938228662694788E-2</v>
      </c>
      <c r="F8">
        <f t="shared" si="0"/>
        <v>1.0055498495129402</v>
      </c>
      <c r="K8" s="3">
        <f>IFERROR(G9/每日收盤價!B8,0)</f>
        <v>0</v>
      </c>
      <c r="L8" s="3">
        <f>IFERROR(H9/每日收盤價!C8,0)</f>
        <v>0</v>
      </c>
      <c r="M8" s="3">
        <f>IFERROR(I9/每日收盤價!D8,0)</f>
        <v>0</v>
      </c>
      <c r="N8" s="3">
        <f>IFERROR(J9/每日收盤價!E8,0)</f>
        <v>0</v>
      </c>
      <c r="O8">
        <f t="shared" si="1"/>
        <v>0</v>
      </c>
    </row>
    <row r="9" spans="1:24">
      <c r="A9" s="9" t="s">
        <v>12</v>
      </c>
      <c r="B9">
        <f>B8*(1+$CD$2)*(1+每日報酬率!B9)</f>
        <v>0</v>
      </c>
      <c r="C9">
        <f>C8*(1+$CD$2)*(1+每日報酬率!C9)</f>
        <v>7.7735508202697479E-2</v>
      </c>
      <c r="D9">
        <f>D8*(1+$CD$2)*(1+每日報酬率!D9)</f>
        <v>0.84498233751905805</v>
      </c>
      <c r="E9">
        <f>E8*(1+$CD$2)*(1+每日報酬率!E9)</f>
        <v>8.0459564936581934E-2</v>
      </c>
      <c r="F9">
        <f t="shared" si="0"/>
        <v>1.0031774106583375</v>
      </c>
      <c r="K9" s="3">
        <f>IFERROR(G10/每日收盤價!B9,0)</f>
        <v>0</v>
      </c>
      <c r="L9" s="3">
        <f>IFERROR(H10/每日收盤價!C9,0)</f>
        <v>0</v>
      </c>
      <c r="M9" s="3">
        <f>IFERROR(I10/每日收盤價!D9,0)</f>
        <v>0</v>
      </c>
      <c r="N9" s="3">
        <f>IFERROR(J10/每日收盤價!E9,0)</f>
        <v>0</v>
      </c>
      <c r="O9">
        <f t="shared" si="1"/>
        <v>0</v>
      </c>
    </row>
    <row r="10" spans="1:24">
      <c r="A10" s="9" t="s">
        <v>13</v>
      </c>
      <c r="B10">
        <f>B9*(1+$CD$2)*(1+每日報酬率!B10)</f>
        <v>0</v>
      </c>
      <c r="C10">
        <f>C9*(1+$CD$2)*(1+每日報酬率!C10)</f>
        <v>7.7348764380793508E-2</v>
      </c>
      <c r="D10">
        <f>D9*(1+$CD$2)*(1+每日報酬率!D10)</f>
        <v>0.84787611264754792</v>
      </c>
      <c r="E10">
        <f>E9*(1+$CD$2)*(1+每日報酬率!E10)</f>
        <v>8.0112007420657175E-2</v>
      </c>
      <c r="F10">
        <f t="shared" si="0"/>
        <v>1.0053368844489987</v>
      </c>
      <c r="K10" s="3">
        <f>IFERROR(G11/每日收盤價!B10,0)</f>
        <v>0</v>
      </c>
      <c r="L10" s="3">
        <f>IFERROR(H11/每日收盤價!C10,0)</f>
        <v>0</v>
      </c>
      <c r="M10" s="3">
        <f>IFERROR(I11/每日收盤價!D10,0)</f>
        <v>0</v>
      </c>
      <c r="N10" s="3">
        <f>IFERROR(J11/每日收盤價!E10,0)</f>
        <v>0</v>
      </c>
      <c r="O10">
        <f t="shared" si="1"/>
        <v>0</v>
      </c>
    </row>
    <row r="11" spans="1:24">
      <c r="A11" s="9" t="s">
        <v>14</v>
      </c>
      <c r="B11">
        <f>B10*(1+$CD$2)*(1+每日報酬率!B11)</f>
        <v>0</v>
      </c>
      <c r="C11">
        <f>C10*(1+$CD$2)*(1+每日報酬率!C11)</f>
        <v>7.7348764380793508E-2</v>
      </c>
      <c r="D11">
        <f>D10*(1+$CD$2)*(1+每日報酬率!D11)</f>
        <v>0.83919478726207808</v>
      </c>
      <c r="E11">
        <f>E10*(1+$CD$2)*(1+每日報酬率!E11)</f>
        <v>7.7765994188165044E-2</v>
      </c>
      <c r="F11">
        <f t="shared" si="0"/>
        <v>0.9943095458310367</v>
      </c>
      <c r="K11" s="3">
        <f>IFERROR(G12/每日收盤價!B11,0)</f>
        <v>0</v>
      </c>
      <c r="L11" s="3">
        <f>IFERROR(H12/每日收盤價!C11,0)</f>
        <v>0</v>
      </c>
      <c r="M11" s="3">
        <f>IFERROR(I12/每日收盤價!D11,0)</f>
        <v>0</v>
      </c>
      <c r="N11" s="3">
        <f>IFERROR(J12/每日收盤價!E11,0)</f>
        <v>0</v>
      </c>
      <c r="O11">
        <f t="shared" si="1"/>
        <v>0</v>
      </c>
    </row>
    <row r="12" spans="1:24">
      <c r="A12" s="9" t="s">
        <v>15</v>
      </c>
      <c r="B12">
        <f>B11*(1+$CD$2)*(1+每日報酬率!B12)</f>
        <v>0</v>
      </c>
      <c r="C12">
        <f>C11*(1+$CD$2)*(1+每日報酬率!C12)</f>
        <v>7.6265881679462397E-2</v>
      </c>
      <c r="D12">
        <f>D11*(1+$CD$2)*(1+每日報酬率!D12)</f>
        <v>0.84064167482632302</v>
      </c>
      <c r="E12">
        <f>E11*(1+$CD$2)*(1+每日報酬率!E12)</f>
        <v>7.6375764124466006E-2</v>
      </c>
      <c r="F12">
        <f t="shared" si="0"/>
        <v>0.99328332063025138</v>
      </c>
      <c r="K12" s="3">
        <f>IFERROR(G13/每日收盤價!B12,0)</f>
        <v>0</v>
      </c>
      <c r="L12" s="3">
        <f>IFERROR(H13/每日收盤價!C12,0)</f>
        <v>0</v>
      </c>
      <c r="M12" s="3">
        <f>IFERROR(I13/每日收盤價!D12,0)</f>
        <v>0</v>
      </c>
      <c r="N12" s="3">
        <f>IFERROR(J13/每日收盤價!E12,0)</f>
        <v>0</v>
      </c>
      <c r="O12">
        <f t="shared" si="1"/>
        <v>0</v>
      </c>
    </row>
    <row r="13" spans="1:24">
      <c r="A13" s="9" t="s">
        <v>16</v>
      </c>
      <c r="B13">
        <f>B12*(1+$CD$2)*(1+每日報酬率!B13)</f>
        <v>0</v>
      </c>
      <c r="C13">
        <f>C12*(1+$CD$2)*(1+每日報酬率!C13)</f>
        <v>7.7271415616412709E-2</v>
      </c>
      <c r="D13">
        <f>D12*(1+$CD$2)*(1+每日報酬率!D13)</f>
        <v>0.85076988777603768</v>
      </c>
      <c r="E13">
        <f>E12*(1+$CD$2)*(1+每日報酬率!E13)</f>
        <v>7.7939772946127431E-2</v>
      </c>
      <c r="F13">
        <f t="shared" si="0"/>
        <v>1.0059810763385779</v>
      </c>
      <c r="K13" s="3">
        <f>IFERROR(G14/每日收盤價!B13,0)</f>
        <v>0</v>
      </c>
      <c r="L13" s="3">
        <f>IFERROR(H14/每日收盤價!C13,0)</f>
        <v>0</v>
      </c>
      <c r="M13" s="3">
        <f>IFERROR(I14/每日收盤價!D13,0)</f>
        <v>0</v>
      </c>
      <c r="N13" s="3">
        <f>IFERROR(J14/每日收盤價!E13,0)</f>
        <v>0</v>
      </c>
      <c r="O13">
        <f t="shared" si="1"/>
        <v>0</v>
      </c>
    </row>
    <row r="14" spans="1:24">
      <c r="A14" s="9" t="s">
        <v>17</v>
      </c>
      <c r="B14">
        <f>B13*(1+$CD$2)*(1+每日報酬率!B14)</f>
        <v>0</v>
      </c>
      <c r="C14">
        <f>C13*(1+$CD$2)*(1+每日報酬率!C14)</f>
        <v>7.7735508202697465E-2</v>
      </c>
      <c r="D14">
        <f>D13*(1+$CD$2)*(1+每日報酬率!D14)</f>
        <v>0.90575161521734615</v>
      </c>
      <c r="E14">
        <f>E13*(1+$CD$2)*(1+每日報酬率!E14)</f>
        <v>7.9938228662694788E-2</v>
      </c>
      <c r="F14">
        <f t="shared" si="0"/>
        <v>1.0634253520827384</v>
      </c>
      <c r="K14" s="3">
        <f>IFERROR(G15/每日收盤價!B14,0)</f>
        <v>0</v>
      </c>
      <c r="L14" s="3">
        <f>IFERROR(H15/每日收盤價!C14,0)</f>
        <v>0</v>
      </c>
      <c r="M14" s="3">
        <f>IFERROR(I15/每日收盤價!D14,0)</f>
        <v>0</v>
      </c>
      <c r="N14" s="3">
        <f>IFERROR(J15/每日收盤價!E14,0)</f>
        <v>0</v>
      </c>
      <c r="O14">
        <f t="shared" si="1"/>
        <v>0</v>
      </c>
    </row>
    <row r="15" spans="1:24">
      <c r="A15" s="9" t="s">
        <v>18</v>
      </c>
      <c r="B15">
        <f>B14*(1+$CD$2)*(1+每日報酬率!B15)</f>
        <v>0</v>
      </c>
      <c r="C15">
        <f>C14*(1+$CD$2)*(1+每日報酬率!C15)</f>
        <v>7.7271415616412709E-2</v>
      </c>
      <c r="D15">
        <f>D14*(1+$CD$2)*(1+每日報酬率!D15)</f>
        <v>0.90575161521734615</v>
      </c>
      <c r="E15">
        <f>E14*(1+$CD$2)*(1+每日報酬率!E15)</f>
        <v>8.0112007420657175E-2</v>
      </c>
      <c r="F15">
        <f t="shared" si="0"/>
        <v>1.063135038254416</v>
      </c>
      <c r="K15" s="3">
        <f>IFERROR(G16/每日收盤價!B15,0)</f>
        <v>0</v>
      </c>
      <c r="L15" s="3">
        <f>IFERROR(H16/每日收盤價!C15,0)</f>
        <v>0</v>
      </c>
      <c r="M15" s="3">
        <f>IFERROR(I16/每日收盤價!D15,0)</f>
        <v>0</v>
      </c>
      <c r="N15" s="3">
        <f>IFERROR(J16/每日收盤價!E15,0)</f>
        <v>0</v>
      </c>
      <c r="O15">
        <f t="shared" si="1"/>
        <v>0</v>
      </c>
    </row>
    <row r="16" spans="1:24">
      <c r="A16" s="9" t="s">
        <v>19</v>
      </c>
      <c r="B16">
        <f>B15*(1+$CD$2)*(1+每日報酬率!B16)</f>
        <v>0</v>
      </c>
      <c r="C16">
        <f>C15*(1+$CD$2)*(1+每日報酬率!C16)</f>
        <v>7.8122252024601421E-2</v>
      </c>
      <c r="D16">
        <f>D15*(1+$CD$2)*(1+每日報酬率!D16)</f>
        <v>0.90864539034583602</v>
      </c>
      <c r="E16">
        <f>E15*(1+$CD$2)*(1+每日報酬率!E16)</f>
        <v>7.9156224251864082E-2</v>
      </c>
      <c r="F16">
        <f t="shared" si="0"/>
        <v>1.0659238666223017</v>
      </c>
      <c r="K16" s="3">
        <f>IFERROR(G17/每日收盤價!B16,0)</f>
        <v>0</v>
      </c>
      <c r="L16" s="3">
        <f>IFERROR(H17/每日收盤價!C16,0)</f>
        <v>0</v>
      </c>
      <c r="M16" s="3">
        <f>IFERROR(I17/每日收盤價!D16,0)</f>
        <v>0</v>
      </c>
      <c r="N16" s="3">
        <f>IFERROR(J17/每日收盤價!E16,0)</f>
        <v>0</v>
      </c>
      <c r="O16">
        <f t="shared" si="1"/>
        <v>0</v>
      </c>
    </row>
    <row r="17" spans="1:15">
      <c r="A17" s="9" t="s">
        <v>20</v>
      </c>
      <c r="B17">
        <f>B16*(1+$CD$2)*(1+每日報酬率!B17)</f>
        <v>0</v>
      </c>
      <c r="C17">
        <f>C16*(1+$CD$2)*(1+每日報酬率!C17)</f>
        <v>7.7735508202697451E-2</v>
      </c>
      <c r="D17">
        <f>D16*(1+$CD$2)*(1+每日報酬率!D17)</f>
        <v>0.90719850278159098</v>
      </c>
      <c r="E17">
        <f>E16*(1+$CD$2)*(1+每日報酬率!E17)</f>
        <v>8.132845872639384E-2</v>
      </c>
      <c r="F17">
        <f t="shared" si="0"/>
        <v>1.0662624697106824</v>
      </c>
      <c r="K17" s="3">
        <f>IFERROR(G18/每日收盤價!B17,0)</f>
        <v>0</v>
      </c>
      <c r="L17" s="3">
        <f>IFERROR(H18/每日收盤價!C17,0)</f>
        <v>0</v>
      </c>
      <c r="M17" s="3">
        <f>IFERROR(I18/每日收盤價!D17,0)</f>
        <v>0</v>
      </c>
      <c r="N17" s="3">
        <f>IFERROR(J18/每日收盤價!E17,0)</f>
        <v>0</v>
      </c>
      <c r="O17">
        <f t="shared" si="1"/>
        <v>0</v>
      </c>
    </row>
    <row r="18" spans="1:15">
      <c r="A18" s="9" t="s">
        <v>21</v>
      </c>
      <c r="B18">
        <f>B17*(1+$CD$2)*(1+每日報酬率!B18)</f>
        <v>0</v>
      </c>
      <c r="C18">
        <f>C17*(1+$CD$2)*(1+每日報酬率!C18)</f>
        <v>7.8895739668409362E-2</v>
      </c>
      <c r="D18">
        <f>D17*(1+$CD$2)*(1+每日報酬率!D18)</f>
        <v>0.92890181624526547</v>
      </c>
      <c r="E18">
        <f>E17*(1+$CD$2)*(1+每日報酬率!E18)</f>
        <v>8.1936684379262173E-2</v>
      </c>
      <c r="F18">
        <f t="shared" si="0"/>
        <v>1.0897342402929371</v>
      </c>
      <c r="K18" s="3">
        <f>IFERROR(G19/每日收盤價!B18,0)</f>
        <v>0</v>
      </c>
      <c r="L18" s="3">
        <f>IFERROR(H19/每日收盤價!C18,0)</f>
        <v>0</v>
      </c>
      <c r="M18" s="3">
        <f>IFERROR(I19/每日收盤價!D18,0)</f>
        <v>0</v>
      </c>
      <c r="N18" s="3">
        <f>IFERROR(J19/每日收盤價!E18,0)</f>
        <v>0</v>
      </c>
      <c r="O18">
        <f t="shared" si="1"/>
        <v>0</v>
      </c>
    </row>
    <row r="19" spans="1:15">
      <c r="A19" s="9" t="s">
        <v>22</v>
      </c>
      <c r="B19">
        <f>B18*(1+$CD$2)*(1+每日報酬率!B19)</f>
        <v>0</v>
      </c>
      <c r="C19">
        <f>C18*(1+$CD$2)*(1+每日報酬率!C19)</f>
        <v>7.9282483490313332E-2</v>
      </c>
      <c r="D19">
        <f>D18*(1+$CD$2)*(1+每日報酬率!D19)</f>
        <v>0.93179559137375534</v>
      </c>
      <c r="E19">
        <f>E18*(1+$CD$2)*(1+每日報酬率!E19)</f>
        <v>8.132845872639384E-2</v>
      </c>
      <c r="F19">
        <f t="shared" si="0"/>
        <v>1.0924065335904625</v>
      </c>
      <c r="K19" s="3">
        <f>IFERROR(G20/每日收盤價!B19,0)</f>
        <v>0</v>
      </c>
      <c r="L19" s="3">
        <f>IFERROR(H20/每日收盤價!C19,0)</f>
        <v>0</v>
      </c>
      <c r="M19" s="3">
        <f>IFERROR(I20/每日收盤價!D19,0)</f>
        <v>0</v>
      </c>
      <c r="N19" s="3">
        <f>IFERROR(J20/每日收盤價!E19,0)</f>
        <v>0</v>
      </c>
      <c r="O19">
        <f t="shared" si="1"/>
        <v>0</v>
      </c>
    </row>
    <row r="20" spans="1:15">
      <c r="A20" s="9" t="s">
        <v>23</v>
      </c>
      <c r="B20">
        <f>B19*(1+$CD$2)*(1+每日報酬率!B20)</f>
        <v>0</v>
      </c>
      <c r="C20">
        <f>C19*(1+$CD$2)*(1+每日報酬率!C20)</f>
        <v>7.9282483490313332E-2</v>
      </c>
      <c r="D20">
        <f>D19*(1+$CD$2)*(1+每日報酬率!D20)</f>
        <v>0.93758314163073508</v>
      </c>
      <c r="E20">
        <f>E19*(1+$CD$2)*(1+每日報酬率!E20)</f>
        <v>8.1502237484356213E-2</v>
      </c>
      <c r="F20">
        <f t="shared" si="0"/>
        <v>1.0983678626054045</v>
      </c>
      <c r="K20" s="3">
        <f>IFERROR(G21/每日收盤價!B20,0)</f>
        <v>0</v>
      </c>
      <c r="L20" s="3">
        <f>IFERROR(H21/每日收盤價!C20,0)</f>
        <v>0</v>
      </c>
      <c r="M20" s="3">
        <f>IFERROR(I21/每日收盤價!D20,0)</f>
        <v>0</v>
      </c>
      <c r="N20" s="3">
        <f>IFERROR(J21/每日收盤價!E20,0)</f>
        <v>0</v>
      </c>
      <c r="O20">
        <f t="shared" si="1"/>
        <v>0</v>
      </c>
    </row>
    <row r="21" spans="1:15">
      <c r="A21" s="9" t="s">
        <v>24</v>
      </c>
      <c r="B21">
        <f>B20*(1+$CD$2)*(1+每日報酬率!B21)</f>
        <v>0</v>
      </c>
      <c r="C21">
        <f>C20*(1+$CD$2)*(1+每日報酬率!C21)</f>
        <v>7.8895739668409362E-2</v>
      </c>
      <c r="D21">
        <f>D20*(1+$CD$2)*(1+每日報酬率!D21)</f>
        <v>0.92890181624526524</v>
      </c>
      <c r="E21">
        <f>E20*(1+$CD$2)*(1+每日報酬率!E21)</f>
        <v>8.3674471958885971E-2</v>
      </c>
      <c r="F21">
        <f t="shared" si="0"/>
        <v>1.0914720278725607</v>
      </c>
      <c r="K21" s="3">
        <f>IFERROR(G22/每日收盤價!B21,0)</f>
        <v>0</v>
      </c>
      <c r="L21" s="3">
        <f>IFERROR(H22/每日收盤價!C21,0)</f>
        <v>0</v>
      </c>
      <c r="M21" s="3">
        <f>IFERROR(I22/每日收盤價!D21,0)</f>
        <v>0</v>
      </c>
      <c r="N21" s="3">
        <f>IFERROR(J22/每日收盤價!E21,0)</f>
        <v>0</v>
      </c>
      <c r="O21">
        <f t="shared" si="1"/>
        <v>0</v>
      </c>
    </row>
    <row r="22" spans="1:15">
      <c r="A22" s="9" t="s">
        <v>25</v>
      </c>
      <c r="B22">
        <f>B21*(1+$CD$2)*(1+每日報酬率!B22)</f>
        <v>0</v>
      </c>
      <c r="C22">
        <f>C21*(1+$CD$2)*(1+每日報酬率!C22)</f>
        <v>7.9282483490313332E-2</v>
      </c>
      <c r="D22">
        <f>D21*(1+$CD$2)*(1+每日報酬率!D22)</f>
        <v>0.9086453903458358</v>
      </c>
      <c r="E22">
        <f>E21*(1+$CD$2)*(1+每日報酬率!E22)</f>
        <v>8.393514009582953E-2</v>
      </c>
      <c r="F22">
        <f t="shared" si="0"/>
        <v>1.0718630139319787</v>
      </c>
      <c r="K22" s="3">
        <f>IFERROR(G23/每日收盤價!B22,0)</f>
        <v>0</v>
      </c>
      <c r="L22" s="3">
        <f>IFERROR(H23/每日收盤價!C22,0)</f>
        <v>0</v>
      </c>
      <c r="M22" s="3">
        <f>IFERROR(I23/每日收盤價!D22,0)</f>
        <v>0</v>
      </c>
      <c r="N22" s="3">
        <f>IFERROR(J23/每日收盤價!E22,0)</f>
        <v>0</v>
      </c>
      <c r="O22">
        <f t="shared" si="1"/>
        <v>0</v>
      </c>
    </row>
    <row r="23" spans="1:15">
      <c r="A23" s="9" t="s">
        <v>26</v>
      </c>
      <c r="B23">
        <f>B22*(1+$CD$2)*(1+每日報酬率!B23)</f>
        <v>0</v>
      </c>
      <c r="C23">
        <f>C22*(1+$CD$2)*(1+每日報酬率!C23)</f>
        <v>7.9669227312217303E-2</v>
      </c>
      <c r="D23">
        <f>D22*(1+$CD$2)*(1+每日報酬率!D23)</f>
        <v>0.9086453903458358</v>
      </c>
      <c r="E23">
        <f>E22*(1+$CD$2)*(1+每日報酬率!E23)</f>
        <v>8.0807122452506694E-2</v>
      </c>
      <c r="F23">
        <f t="shared" si="0"/>
        <v>1.0691217401105597</v>
      </c>
      <c r="K23" s="3">
        <f>IFERROR(G24/每日收盤價!B23,0)</f>
        <v>0</v>
      </c>
      <c r="L23" s="3">
        <f>IFERROR(H24/每日收盤價!C23,0)</f>
        <v>0</v>
      </c>
      <c r="M23" s="3">
        <f>IFERROR(I24/每日收盤價!D23,0)</f>
        <v>0</v>
      </c>
      <c r="N23" s="3">
        <f>IFERROR(J24/每日收盤價!E23,0)</f>
        <v>0</v>
      </c>
      <c r="O23">
        <f t="shared" si="1"/>
        <v>0</v>
      </c>
    </row>
    <row r="24" spans="1:15">
      <c r="A24" s="9" t="s">
        <v>27</v>
      </c>
      <c r="B24">
        <f>B23*(1+$CD$2)*(1+每日報酬率!B24)</f>
        <v>0</v>
      </c>
      <c r="C24">
        <f>C23*(1+$CD$2)*(1+每日報酬率!C24)</f>
        <v>7.8895739668409362E-2</v>
      </c>
      <c r="D24">
        <f>D23*(1+$CD$2)*(1+每日報酬率!D24)</f>
        <v>0.91877360329555047</v>
      </c>
      <c r="E24">
        <f>E23*(1+$CD$2)*(1+每日報酬率!E24)</f>
        <v>8.1328458726393826E-2</v>
      </c>
      <c r="F24">
        <f t="shared" si="0"/>
        <v>1.0789978016903536</v>
      </c>
      <c r="K24" s="3">
        <f>IFERROR(G25/每日收盤價!B24,0)</f>
        <v>0</v>
      </c>
      <c r="L24" s="3">
        <f>IFERROR(H25/每日收盤價!C24,0)</f>
        <v>0</v>
      </c>
      <c r="M24" s="3">
        <f>IFERROR(I25/每日收盤價!D24,0)</f>
        <v>0</v>
      </c>
      <c r="N24" s="3">
        <f>IFERROR(J25/每日收盤價!E24,0)</f>
        <v>0</v>
      </c>
      <c r="O24">
        <f t="shared" si="1"/>
        <v>0</v>
      </c>
    </row>
    <row r="25" spans="1:15">
      <c r="A25" s="9" t="s">
        <v>28</v>
      </c>
      <c r="B25">
        <f>B24*(1+$CD$2)*(1+每日報酬率!B25)</f>
        <v>0</v>
      </c>
      <c r="C25">
        <f>C24*(1+$CD$2)*(1+每日報酬率!C25)</f>
        <v>7.8508995846505392E-2</v>
      </c>
      <c r="D25">
        <f>D24*(1+$CD$2)*(1+每日報酬率!D25)</f>
        <v>0.9346893665022451</v>
      </c>
      <c r="E25">
        <f>E24*(1+$CD$2)*(1+每日報酬率!E25)</f>
        <v>8.1415348105375013E-2</v>
      </c>
      <c r="F25">
        <f t="shared" si="0"/>
        <v>1.0946137104541256</v>
      </c>
      <c r="K25" s="3">
        <f>IFERROR(G26/每日收盤價!B25,0)</f>
        <v>0</v>
      </c>
      <c r="L25" s="3">
        <f>IFERROR(H26/每日收盤價!C25,0)</f>
        <v>0</v>
      </c>
      <c r="M25" s="3">
        <f>IFERROR(I26/每日收盤價!D25,0)</f>
        <v>0</v>
      </c>
      <c r="N25" s="3">
        <f>IFERROR(J26/每日收盤價!E25,0)</f>
        <v>0</v>
      </c>
      <c r="O25">
        <f t="shared" si="1"/>
        <v>0</v>
      </c>
    </row>
    <row r="26" spans="1:15">
      <c r="A26" s="9" t="s">
        <v>29</v>
      </c>
      <c r="B26">
        <f>B25*(1+$CD$2)*(1+每日報酬率!B26)</f>
        <v>0</v>
      </c>
      <c r="C26">
        <f>C25*(1+$CD$2)*(1+每日報酬率!C26)</f>
        <v>7.8122252024601421E-2</v>
      </c>
      <c r="D26">
        <f>D25*(1+$CD$2)*(1+每日報酬率!D26)</f>
        <v>1.0084806322787381</v>
      </c>
      <c r="E26">
        <f>E25*(1+$CD$2)*(1+每日報酬率!E26)</f>
        <v>8.4456476369716663E-2</v>
      </c>
      <c r="F26">
        <f t="shared" si="0"/>
        <v>1.1710593606730562</v>
      </c>
      <c r="K26" s="3">
        <f>IFERROR(G27/每日收盤價!B26,0)</f>
        <v>0</v>
      </c>
      <c r="L26" s="3">
        <f>IFERROR(H27/每日收盤價!C26,0)</f>
        <v>0</v>
      </c>
      <c r="M26" s="3">
        <f>IFERROR(I27/每日收盤價!D26,0)</f>
        <v>0</v>
      </c>
      <c r="N26" s="3">
        <f>IFERROR(J27/每日收盤價!E26,0)</f>
        <v>0</v>
      </c>
      <c r="O26">
        <f t="shared" si="1"/>
        <v>0</v>
      </c>
    </row>
    <row r="27" spans="1:15">
      <c r="A27" s="9" t="s">
        <v>30</v>
      </c>
      <c r="B27">
        <f>B26*(1+$CD$2)*(1+每日報酬率!B27)</f>
        <v>0</v>
      </c>
      <c r="C27">
        <f>C26*(1+$CD$2)*(1+每日報酬率!C27)</f>
        <v>7.8508995846505392E-2</v>
      </c>
      <c r="D27">
        <f>D26*(1+$CD$2)*(1+每日報酬率!D27)</f>
        <v>0.98822420637930863</v>
      </c>
      <c r="E27">
        <f>E26*(1+$CD$2)*(1+每日報酬率!E27)</f>
        <v>8.4282697611754276E-2</v>
      </c>
      <c r="F27">
        <f t="shared" si="0"/>
        <v>1.1510158998375684</v>
      </c>
      <c r="K27" s="3">
        <f>IFERROR(G28/每日收盤價!B27,0)</f>
        <v>0</v>
      </c>
      <c r="L27" s="3">
        <f>IFERROR(H28/每日收盤價!C27,0)</f>
        <v>0</v>
      </c>
      <c r="M27" s="3">
        <f>IFERROR(I28/每日收盤價!D27,0)</f>
        <v>0</v>
      </c>
      <c r="N27" s="3">
        <f>IFERROR(J28/每日收盤價!E27,0)</f>
        <v>0</v>
      </c>
      <c r="O27">
        <f t="shared" si="1"/>
        <v>0</v>
      </c>
    </row>
    <row r="28" spans="1:15">
      <c r="A28" s="9" t="s">
        <v>31</v>
      </c>
      <c r="B28">
        <f>B27*(1+$CD$2)*(1+每日報酬率!B28)</f>
        <v>0</v>
      </c>
      <c r="C28">
        <f>C27*(1+$CD$2)*(1+每日報酬率!C28)</f>
        <v>7.9669227312217303E-2</v>
      </c>
      <c r="D28">
        <f>D27*(1+$CD$2)*(1+每日報酬率!D28)</f>
        <v>0.98098976855808384</v>
      </c>
      <c r="E28">
        <f>E27*(1+$CD$2)*(1+每日報酬率!E28)</f>
        <v>8.3674471958885943E-2</v>
      </c>
      <c r="F28">
        <f t="shared" si="0"/>
        <v>1.1443334678291872</v>
      </c>
      <c r="K28" s="3">
        <f>IFERROR(G29/每日收盤價!B28,0)</f>
        <v>0</v>
      </c>
      <c r="L28" s="3">
        <f>IFERROR(H29/每日收盤價!C28,0)</f>
        <v>0</v>
      </c>
      <c r="M28" s="3">
        <f>IFERROR(I29/每日收盤價!D28,0)</f>
        <v>0</v>
      </c>
      <c r="N28" s="3">
        <f>IFERROR(J29/每日收盤價!E28,0)</f>
        <v>0</v>
      </c>
      <c r="O28">
        <f t="shared" si="1"/>
        <v>0</v>
      </c>
    </row>
    <row r="29" spans="1:15">
      <c r="A29" s="9" t="s">
        <v>32</v>
      </c>
      <c r="B29">
        <f>B28*(1+$CD$2)*(1+每日報酬率!B29)</f>
        <v>0</v>
      </c>
      <c r="C29">
        <f>C28*(1+$CD$2)*(1+每日報酬率!C29)</f>
        <v>8.0055971134121273E-2</v>
      </c>
      <c r="D29">
        <f>D28*(1+$CD$2)*(1+每日報酬率!D29)</f>
        <v>0.99401175663628838</v>
      </c>
      <c r="E29">
        <f>E28*(1+$CD$2)*(1+每日報酬率!E29)</f>
        <v>8.5325370159528555E-2</v>
      </c>
      <c r="F29">
        <f t="shared" si="0"/>
        <v>1.1593930979299381</v>
      </c>
      <c r="K29" s="3">
        <f>IFERROR(G30/每日收盤價!B29,0)</f>
        <v>0</v>
      </c>
      <c r="L29" s="3">
        <f>IFERROR(H30/每日收盤價!C29,0)</f>
        <v>0</v>
      </c>
      <c r="M29" s="3">
        <f>IFERROR(I30/每日收盤價!D29,0)</f>
        <v>0</v>
      </c>
      <c r="N29" s="3">
        <f>IFERROR(J30/每日收盤價!E29,0)</f>
        <v>0</v>
      </c>
      <c r="O29">
        <f t="shared" si="1"/>
        <v>0</v>
      </c>
    </row>
    <row r="30" spans="1:15">
      <c r="A30" s="9" t="s">
        <v>33</v>
      </c>
      <c r="B30">
        <f>B29*(1+$CD$2)*(1+每日報酬率!B30)</f>
        <v>0</v>
      </c>
      <c r="C30">
        <f>C29*(1+$CD$2)*(1+每日報酬率!C30)</f>
        <v>7.9669227312217303E-2</v>
      </c>
      <c r="D30">
        <f>D29*(1+$CD$2)*(1+每日報酬率!D30)</f>
        <v>0.98533043125081854</v>
      </c>
      <c r="E30">
        <f>E29*(1+$CD$2)*(1+每日報酬率!E30)</f>
        <v>8.5238480780547368E-2</v>
      </c>
      <c r="F30">
        <f t="shared" si="0"/>
        <v>1.1502381393435832</v>
      </c>
      <c r="K30" s="3">
        <f>IFERROR(G31/每日收盤價!B30,0)</f>
        <v>0</v>
      </c>
      <c r="L30" s="3">
        <f>IFERROR(H31/每日收盤價!C30,0)</f>
        <v>0</v>
      </c>
      <c r="M30" s="3">
        <f>IFERROR(I31/每日收盤價!D30,0)</f>
        <v>0</v>
      </c>
      <c r="N30" s="3">
        <f>IFERROR(J31/每日收盤價!E30,0)</f>
        <v>0</v>
      </c>
      <c r="O30">
        <f t="shared" si="1"/>
        <v>0</v>
      </c>
    </row>
    <row r="31" spans="1:15">
      <c r="A31" s="9" t="s">
        <v>34</v>
      </c>
      <c r="B31">
        <f>B30*(1+$CD$2)*(1+每日報酬率!B31)</f>
        <v>0</v>
      </c>
      <c r="C31">
        <f>C30*(1+$CD$2)*(1+每日報酬率!C31)</f>
        <v>8.0055971134121273E-2</v>
      </c>
      <c r="D31">
        <f>D30*(1+$CD$2)*(1+每日報酬率!D31)</f>
        <v>1.0012461944575131</v>
      </c>
      <c r="E31">
        <f>E30*(1+$CD$2)*(1+每日報酬率!E31)</f>
        <v>8.8192719665907818E-2</v>
      </c>
      <c r="F31">
        <f t="shared" si="0"/>
        <v>1.1694948852575422</v>
      </c>
      <c r="K31" s="3">
        <f>IFERROR(G32/每日收盤價!B31,0)</f>
        <v>0</v>
      </c>
      <c r="L31" s="3">
        <f>IFERROR(H32/每日收盤價!C31,0)</f>
        <v>0</v>
      </c>
      <c r="M31" s="3">
        <f>IFERROR(I32/每日收盤價!D31,0)</f>
        <v>0</v>
      </c>
      <c r="N31" s="3">
        <f>IFERROR(J32/每日收盤價!E31,0)</f>
        <v>0</v>
      </c>
      <c r="O31">
        <f t="shared" si="1"/>
        <v>0</v>
      </c>
    </row>
    <row r="32" spans="1:15">
      <c r="A32" s="9" t="s">
        <v>35</v>
      </c>
      <c r="B32">
        <f>B31*(1+$CD$2)*(1+每日報酬率!B32)</f>
        <v>0</v>
      </c>
      <c r="C32">
        <f>C31*(1+$CD$2)*(1+每日報酬率!C32)</f>
        <v>7.9669227312217303E-2</v>
      </c>
      <c r="D32">
        <f>D31*(1+$CD$2)*(1+每日報酬率!D32)</f>
        <v>1.0084806322787379</v>
      </c>
      <c r="E32">
        <f>E31*(1+$CD$2)*(1+每日報酬率!E32)</f>
        <v>9.5578316879308969E-2</v>
      </c>
      <c r="F32">
        <f t="shared" si="0"/>
        <v>1.1837281764702641</v>
      </c>
      <c r="K32" s="3">
        <f>IFERROR(G33/每日收盤價!B32,0)</f>
        <v>0</v>
      </c>
      <c r="L32" s="3">
        <f>IFERROR(H33/每日收盤價!C32,0)</f>
        <v>0</v>
      </c>
      <c r="M32" s="3">
        <f>IFERROR(I33/每日收盤價!D32,0)</f>
        <v>0</v>
      </c>
      <c r="N32" s="3">
        <f>IFERROR(J33/每日收盤價!E32,0)</f>
        <v>0</v>
      </c>
      <c r="O32">
        <f t="shared" si="1"/>
        <v>0</v>
      </c>
    </row>
    <row r="33" spans="1:15">
      <c r="A33" s="9" t="s">
        <v>36</v>
      </c>
      <c r="B33">
        <f>B32*(1+$CD$2)*(1+每日報酬率!B33)</f>
        <v>0</v>
      </c>
      <c r="C33">
        <f>C32*(1+$CD$2)*(1+每日報酬率!C33)</f>
        <v>8.0055971134121273E-2</v>
      </c>
      <c r="D33">
        <f>D32*(1+$CD$2)*(1+每日報酬率!D33)</f>
        <v>1.0099275198429829</v>
      </c>
      <c r="E33">
        <f>E32*(1+$CD$2)*(1+每日報酬率!E33)</f>
        <v>9.6881657564026821E-2</v>
      </c>
      <c r="F33">
        <f t="shared" si="0"/>
        <v>1.186865148541131</v>
      </c>
      <c r="K33" s="3">
        <f>IFERROR(G34/每日收盤價!B33,0)</f>
        <v>0</v>
      </c>
      <c r="L33" s="3">
        <f>IFERROR(H34/每日收盤價!C33,0)</f>
        <v>0</v>
      </c>
      <c r="M33" s="3">
        <f>IFERROR(I34/每日收盤價!D33,0)</f>
        <v>0</v>
      </c>
      <c r="N33" s="3">
        <f>IFERROR(J34/每日收盤價!E33,0)</f>
        <v>0</v>
      </c>
      <c r="O33">
        <f t="shared" si="1"/>
        <v>0</v>
      </c>
    </row>
    <row r="34" spans="1:15">
      <c r="A34" s="9" t="s">
        <v>37</v>
      </c>
      <c r="B34">
        <f>B33*(1+$CD$2)*(1+每日報酬率!B34)</f>
        <v>0</v>
      </c>
      <c r="C34">
        <f>C33*(1+$CD$2)*(1+每日報酬率!C34)</f>
        <v>8.0055971134121273E-2</v>
      </c>
      <c r="D34">
        <f>D33*(1+$CD$2)*(1+每日報酬率!D34)</f>
        <v>1.0099275198429829</v>
      </c>
      <c r="E34">
        <f>E33*(1+$CD$2)*(1+每日報酬率!E34)</f>
        <v>9.6881657564026821E-2</v>
      </c>
      <c r="F34">
        <f t="shared" si="0"/>
        <v>1.186865148541131</v>
      </c>
      <c r="K34" s="3">
        <f>IFERROR(G35/每日收盤價!B34,0)</f>
        <v>0</v>
      </c>
      <c r="L34" s="3">
        <f>IFERROR(H35/每日收盤價!C34,0)</f>
        <v>0</v>
      </c>
      <c r="M34" s="3">
        <f>IFERROR(I35/每日收盤價!D34,0)</f>
        <v>0</v>
      </c>
      <c r="N34" s="3">
        <f>IFERROR(J35/每日收盤價!E34,0)</f>
        <v>0</v>
      </c>
      <c r="O34">
        <f t="shared" si="1"/>
        <v>0</v>
      </c>
    </row>
    <row r="35" spans="1:15">
      <c r="A35" s="9" t="s">
        <v>38</v>
      </c>
      <c r="B35">
        <f>B34*(1+$CD$2)*(1+每日報酬率!B35)</f>
        <v>0</v>
      </c>
      <c r="C35">
        <f>C34*(1+$CD$2)*(1+每日報酬率!C35)</f>
        <v>7.9669227312217303E-2</v>
      </c>
      <c r="D35">
        <f>D34*(1+$CD$2)*(1+每日報酬率!D35)</f>
        <v>0.99835241932902319</v>
      </c>
      <c r="E35">
        <f>E34*(1+$CD$2)*(1+每日報酬率!E35)</f>
        <v>9.9053892038556579E-2</v>
      </c>
      <c r="F35">
        <f t="shared" si="0"/>
        <v>1.1770755386797971</v>
      </c>
      <c r="K35" s="3">
        <f>IFERROR(G36/每日收盤價!B35,0)</f>
        <v>0</v>
      </c>
      <c r="L35" s="3">
        <f>IFERROR(H36/每日收盤價!C35,0)</f>
        <v>0</v>
      </c>
      <c r="M35" s="3">
        <f>IFERROR(I36/每日收盤價!D35,0)</f>
        <v>0</v>
      </c>
      <c r="N35" s="3">
        <f>IFERROR(J36/每日收盤價!E35,0)</f>
        <v>0</v>
      </c>
      <c r="O35">
        <f t="shared" si="1"/>
        <v>0</v>
      </c>
    </row>
    <row r="36" spans="1:15">
      <c r="A36" s="9" t="s">
        <v>39</v>
      </c>
      <c r="B36">
        <f>B35*(1+$CD$2)*(1+每日報酬率!B36)</f>
        <v>0</v>
      </c>
      <c r="C36">
        <f>C35*(1+$CD$2)*(1+每日報酬率!C36)</f>
        <v>7.8895739668409362E-2</v>
      </c>
      <c r="D36">
        <f>D35*(1+$CD$2)*(1+每日報酬率!D36)</f>
        <v>0.99690553176477825</v>
      </c>
      <c r="E36">
        <f>E35*(1+$CD$2)*(1+每日報酬率!E36)</f>
        <v>9.6012763774214929E-2</v>
      </c>
      <c r="F36">
        <f t="shared" si="0"/>
        <v>1.1718140352074027</v>
      </c>
      <c r="K36" s="3">
        <f>IFERROR(G37/每日收盤價!B36,0)</f>
        <v>0</v>
      </c>
      <c r="L36" s="3">
        <f>IFERROR(H37/每日收盤價!C36,0)</f>
        <v>0</v>
      </c>
      <c r="M36" s="3">
        <f>IFERROR(I37/每日收盤價!D36,0)</f>
        <v>0</v>
      </c>
      <c r="N36" s="3">
        <f>IFERROR(J37/每日收盤價!E36,0)</f>
        <v>0</v>
      </c>
      <c r="O36">
        <f t="shared" si="1"/>
        <v>0</v>
      </c>
    </row>
    <row r="37" spans="1:15">
      <c r="A37" s="9" t="s">
        <v>40</v>
      </c>
      <c r="B37">
        <f>B36*(1+$CD$2)*(1+每日報酬率!B37)</f>
        <v>0</v>
      </c>
      <c r="C37">
        <f>C36*(1+$CD$2)*(1+每日報酬率!C37)</f>
        <v>8.2376434065545068E-2</v>
      </c>
      <c r="D37">
        <f>D36*(1+$CD$2)*(1+每日報酬率!D37)</f>
        <v>1.048993484077597</v>
      </c>
      <c r="E37">
        <f>E36*(1+$CD$2)*(1+每日報酬率!E37)</f>
        <v>9.9922785828368485E-2</v>
      </c>
      <c r="F37">
        <f t="shared" si="0"/>
        <v>1.2312927039715105</v>
      </c>
      <c r="K37" s="3">
        <f>IFERROR(G38/每日收盤價!B37,0)</f>
        <v>0</v>
      </c>
      <c r="L37" s="3">
        <f>IFERROR(H38/每日收盤價!C37,0)</f>
        <v>0</v>
      </c>
      <c r="M37" s="3">
        <f>IFERROR(I38/每日收盤價!D37,0)</f>
        <v>0</v>
      </c>
      <c r="N37" s="3">
        <f>IFERROR(J38/每日收盤價!E37,0)</f>
        <v>0</v>
      </c>
      <c r="O37">
        <f t="shared" si="1"/>
        <v>0</v>
      </c>
    </row>
    <row r="38" spans="1:15">
      <c r="A38" s="9" t="s">
        <v>41</v>
      </c>
      <c r="B38">
        <f>B37*(1+$CD$2)*(1+每日報酬率!B38)</f>
        <v>0</v>
      </c>
      <c r="C38">
        <f>C37*(1+$CD$2)*(1+每日報酬率!C38)</f>
        <v>8.2376434065545068E-2</v>
      </c>
      <c r="D38">
        <f>D37*(1+$CD$2)*(1+每日報酬率!D38)</f>
        <v>1.0562279218988218</v>
      </c>
      <c r="E38">
        <f>E37*(1+$CD$2)*(1+每日報酬率!E38)</f>
        <v>0.10035723272327443</v>
      </c>
      <c r="F38">
        <f t="shared" si="0"/>
        <v>1.2389615886876413</v>
      </c>
      <c r="K38" s="3">
        <f>IFERROR(G39/每日收盤價!B38,0)</f>
        <v>0</v>
      </c>
      <c r="L38" s="3">
        <f>IFERROR(H39/每日收盤價!C38,0)</f>
        <v>0</v>
      </c>
      <c r="M38" s="3">
        <f>IFERROR(I39/每日收盤價!D38,0)</f>
        <v>0</v>
      </c>
      <c r="N38" s="3">
        <f>IFERROR(J39/每日收盤價!E38,0)</f>
        <v>0</v>
      </c>
      <c r="O38">
        <f t="shared" si="1"/>
        <v>0</v>
      </c>
    </row>
    <row r="39" spans="1:15">
      <c r="A39" s="9" t="s">
        <v>42</v>
      </c>
      <c r="B39">
        <f>B38*(1+$CD$2)*(1+每日報酬率!B39)</f>
        <v>0</v>
      </c>
      <c r="C39">
        <f>C38*(1+$CD$2)*(1+每日報酬率!C39)</f>
        <v>8.2376434065545068E-2</v>
      </c>
      <c r="D39">
        <f>D38*(1+$CD$2)*(1+每日報酬率!D39)</f>
        <v>1.0634623597200465</v>
      </c>
      <c r="E39">
        <f>E38*(1+$CD$2)*(1+每日報酬率!E39)</f>
        <v>0.10339836098761608</v>
      </c>
      <c r="F39">
        <f t="shared" si="0"/>
        <v>1.2492371547732077</v>
      </c>
      <c r="K39" s="3">
        <f>IFERROR(G40/每日收盤價!B39,0)</f>
        <v>0</v>
      </c>
      <c r="L39" s="3">
        <f>IFERROR(H40/每日收盤價!C39,0)</f>
        <v>0</v>
      </c>
      <c r="M39" s="3">
        <f>IFERROR(I40/每日收盤價!D39,0)</f>
        <v>0</v>
      </c>
      <c r="N39" s="3">
        <f>IFERROR(J40/每日收盤價!E39,0)</f>
        <v>0</v>
      </c>
      <c r="O39">
        <f t="shared" si="1"/>
        <v>0</v>
      </c>
    </row>
    <row r="40" spans="1:15">
      <c r="A40" s="9" t="s">
        <v>43</v>
      </c>
      <c r="B40">
        <f>B39*(1+$CD$2)*(1+每日報酬率!B40)</f>
        <v>0</v>
      </c>
      <c r="C40">
        <f>C39*(1+$CD$2)*(1+每日報酬率!C40)</f>
        <v>8.3149921709352995E-2</v>
      </c>
      <c r="D40">
        <f>D39*(1+$CD$2)*(1+每日報酬率!D40)</f>
        <v>1.0996345488261705</v>
      </c>
      <c r="E40">
        <f>E39*(1+$CD$2)*(1+每日報酬率!E40)</f>
        <v>0.10687393614686369</v>
      </c>
      <c r="F40">
        <f t="shared" si="0"/>
        <v>1.2896584066823871</v>
      </c>
      <c r="K40" s="3">
        <f>IFERROR(G41/每日收盤價!B40,0)</f>
        <v>0</v>
      </c>
      <c r="L40" s="3">
        <f>IFERROR(H41/每日收盤價!C40,0)</f>
        <v>0</v>
      </c>
      <c r="M40" s="3">
        <f>IFERROR(I41/每日收盤價!D40,0)</f>
        <v>0</v>
      </c>
      <c r="N40" s="3">
        <f>IFERROR(J41/每日收盤價!E40,0)</f>
        <v>0</v>
      </c>
      <c r="O40">
        <f t="shared" si="1"/>
        <v>0</v>
      </c>
    </row>
    <row r="41" spans="1:15">
      <c r="A41" s="9" t="s">
        <v>44</v>
      </c>
      <c r="B41">
        <f>B40*(1+$CD$2)*(1+每日報酬率!B41)</f>
        <v>0</v>
      </c>
      <c r="C41">
        <f>C40*(1+$CD$2)*(1+每日報酬率!C41)</f>
        <v>8.1216202599833157E-2</v>
      </c>
      <c r="D41">
        <f>D40*(1+$CD$2)*(1+每日報酬率!D41)</f>
        <v>1.1343598503680496</v>
      </c>
      <c r="E41">
        <f>E40*(1+$CD$2)*(1+每日報酬率!E41)</f>
        <v>0.10687393614686369</v>
      </c>
      <c r="F41">
        <f t="shared" si="0"/>
        <v>1.3224499891147463</v>
      </c>
      <c r="K41" s="3">
        <f>IFERROR(G42/每日收盤價!B41,0)</f>
        <v>0</v>
      </c>
      <c r="L41" s="3">
        <f>IFERROR(H42/每日收盤價!C41,0)</f>
        <v>0</v>
      </c>
      <c r="M41" s="3">
        <f>IFERROR(I42/每日收盤價!D41,0)</f>
        <v>0</v>
      </c>
      <c r="N41" s="3">
        <f>IFERROR(J42/每日收盤價!E41,0)</f>
        <v>0</v>
      </c>
      <c r="O41">
        <f t="shared" si="1"/>
        <v>0</v>
      </c>
    </row>
    <row r="42" spans="1:15">
      <c r="A42" s="9" t="s">
        <v>45</v>
      </c>
      <c r="B42">
        <f>B41*(1+$CD$2)*(1+每日報酬率!B42)</f>
        <v>0</v>
      </c>
      <c r="C42">
        <f>C41*(1+$CD$2)*(1+每日報酬率!C42)</f>
        <v>8.4696896996968862E-2</v>
      </c>
      <c r="D42">
        <f>D41*(1+$CD$2)*(1+每日報酬率!D42)</f>
        <v>1.1083158742116404</v>
      </c>
      <c r="E42">
        <f>E41*(1+$CD$2)*(1+每日報酬率!E42)</f>
        <v>0.10643948925195774</v>
      </c>
      <c r="F42">
        <f t="shared" si="0"/>
        <v>1.2994522604605669</v>
      </c>
      <c r="K42" s="3">
        <f>IFERROR(G43/每日收盤價!B42,0)</f>
        <v>0</v>
      </c>
      <c r="L42" s="3">
        <f>IFERROR(H43/每日收盤價!C42,0)</f>
        <v>0</v>
      </c>
      <c r="M42" s="3">
        <f>IFERROR(I43/每日收盤價!D42,0)</f>
        <v>0</v>
      </c>
      <c r="N42" s="3">
        <f>IFERROR(J43/每日收盤價!E42,0)</f>
        <v>0</v>
      </c>
      <c r="O42">
        <f t="shared" si="1"/>
        <v>0</v>
      </c>
    </row>
    <row r="43" spans="1:15">
      <c r="A43" s="9" t="s">
        <v>46</v>
      </c>
      <c r="B43">
        <f>B42*(1+$CD$2)*(1+每日報酬率!B43)</f>
        <v>0</v>
      </c>
      <c r="C43">
        <f>C42*(1+$CD$2)*(1+每日報酬率!C43)</f>
        <v>9.2045029613144244E-2</v>
      </c>
      <c r="D43">
        <f>D42*(1+$CD$2)*(1+每日報酬率!D43)</f>
        <v>1.1141034244686203</v>
      </c>
      <c r="E43">
        <f>E42*(1+$CD$2)*(1+每日報酬率!E43)</f>
        <v>0.10557059546214585</v>
      </c>
      <c r="F43">
        <f t="shared" si="0"/>
        <v>1.3117190495439104</v>
      </c>
      <c r="K43" s="3">
        <f>IFERROR(G44/每日收盤價!B43,0)</f>
        <v>0</v>
      </c>
      <c r="L43" s="3">
        <f>IFERROR(H44/每日收盤價!C43,0)</f>
        <v>0</v>
      </c>
      <c r="M43" s="3">
        <f>IFERROR(I44/每日收盤價!D43,0)</f>
        <v>0</v>
      </c>
      <c r="N43" s="3">
        <f>IFERROR(J44/每日收盤價!E43,0)</f>
        <v>0</v>
      </c>
      <c r="O43">
        <f t="shared" si="1"/>
        <v>0</v>
      </c>
    </row>
    <row r="44" spans="1:15">
      <c r="A44" s="9" t="s">
        <v>47</v>
      </c>
      <c r="B44">
        <f>B43*(1+$CD$2)*(1+每日報酬率!B44)</f>
        <v>0</v>
      </c>
      <c r="C44">
        <f>C43*(1+$CD$2)*(1+每日報酬率!C44)</f>
        <v>9.3205261078856141E-2</v>
      </c>
      <c r="D44">
        <f>D43*(1+$CD$2)*(1+每日報酬率!D44)</f>
        <v>1.1271254125468251</v>
      </c>
      <c r="E44">
        <f>E43*(1+$CD$2)*(1+每日報酬率!E44)</f>
        <v>0.10557059546214585</v>
      </c>
      <c r="F44">
        <f t="shared" si="0"/>
        <v>1.3259012690878269</v>
      </c>
      <c r="K44" s="3">
        <f>IFERROR(G45/每日收盤價!B44,0)</f>
        <v>0</v>
      </c>
      <c r="L44" s="3">
        <f>IFERROR(H45/每日收盤價!C44,0)</f>
        <v>0</v>
      </c>
      <c r="M44" s="3">
        <f>IFERROR(I45/每日收盤價!D44,0)</f>
        <v>0</v>
      </c>
      <c r="N44" s="3">
        <f>IFERROR(J45/每日收盤價!E44,0)</f>
        <v>0</v>
      </c>
      <c r="O44">
        <f t="shared" si="1"/>
        <v>0</v>
      </c>
    </row>
    <row r="45" spans="1:15">
      <c r="A45" s="9" t="s">
        <v>48</v>
      </c>
      <c r="B45">
        <f>B44*(1+$CD$2)*(1+每日報酬率!B45)</f>
        <v>0</v>
      </c>
      <c r="C45">
        <f>C44*(1+$CD$2)*(1+每日報酬率!C45)</f>
        <v>9.3592004900760112E-2</v>
      </c>
      <c r="D45">
        <f>D44*(1+$CD$2)*(1+每日報酬率!D45)</f>
        <v>1.1343598503680499</v>
      </c>
      <c r="E45">
        <f>E44*(1+$CD$2)*(1+每日報酬率!E45)</f>
        <v>9.9922785828368499E-2</v>
      </c>
      <c r="F45">
        <f t="shared" si="0"/>
        <v>1.3278746410971785</v>
      </c>
      <c r="K45" s="3">
        <f>IFERROR(G46/每日收盤價!B45,0)</f>
        <v>0</v>
      </c>
      <c r="L45" s="3">
        <f>IFERROR(H46/每日收盤價!C45,0)</f>
        <v>0</v>
      </c>
      <c r="M45" s="3">
        <f>IFERROR(I46/每日收盤價!D45,0)</f>
        <v>0</v>
      </c>
      <c r="N45" s="3">
        <f>IFERROR(J46/每日收盤價!E45,0)</f>
        <v>0</v>
      </c>
      <c r="O45">
        <f t="shared" si="1"/>
        <v>0</v>
      </c>
    </row>
    <row r="46" spans="1:15">
      <c r="A46" s="9" t="s">
        <v>49</v>
      </c>
      <c r="B46">
        <f>B45*(1+$CD$2)*(1+每日報酬率!B46)</f>
        <v>0</v>
      </c>
      <c r="C46">
        <f>C45*(1+$CD$2)*(1+每日報酬率!C46)</f>
        <v>0.10210036898264739</v>
      </c>
      <c r="D46">
        <f>D45*(1+$CD$2)*(1+每日報酬率!D46)</f>
        <v>1.0895063358764561</v>
      </c>
      <c r="E46">
        <f>E45*(1+$CD$2)*(1+每日報酬率!E46)</f>
        <v>9.8619445143650647E-2</v>
      </c>
      <c r="F46">
        <f t="shared" si="0"/>
        <v>1.2902261500027541</v>
      </c>
      <c r="K46" s="3">
        <f>IFERROR(G47/每日收盤價!B46,0)</f>
        <v>0</v>
      </c>
      <c r="L46" s="3">
        <f>IFERROR(H47/每日收盤價!C46,0)</f>
        <v>0</v>
      </c>
      <c r="M46" s="3">
        <f>IFERROR(I47/每日收盤價!D46,0)</f>
        <v>4.6477950730411692E-3</v>
      </c>
      <c r="N46" s="3">
        <f>IFERROR(J47/每日收盤價!E46,0)</f>
        <v>0</v>
      </c>
      <c r="O46">
        <f t="shared" si="1"/>
        <v>4.6477950730411692E-3</v>
      </c>
    </row>
    <row r="47" spans="1:15">
      <c r="A47" s="9" t="s">
        <v>50</v>
      </c>
      <c r="B47">
        <f>B46*(1+$CD$2)*(1+每日報酬率!B47)</f>
        <v>0</v>
      </c>
      <c r="C47">
        <f>C46*(1+$CD$2)*(1+每日報酬率!C47)</f>
        <v>0.10519431955787913</v>
      </c>
      <c r="D47">
        <f>D46*(1+$CD$2)*(1+每日報酬率!D47)</f>
        <v>1.1054220990831507</v>
      </c>
      <c r="E47">
        <f>E46*(1+$CD$2)*(1+每日報酬率!E47)</f>
        <v>0.1016605734079923</v>
      </c>
      <c r="F47">
        <f t="shared" si="0"/>
        <v>1.312276992049022</v>
      </c>
      <c r="I47" s="3">
        <v>3.4997896900000001</v>
      </c>
      <c r="K47" s="3">
        <f>IFERROR(G48/每日收盤價!B47,0)</f>
        <v>0</v>
      </c>
      <c r="L47" s="3">
        <f>IFERROR(H48/每日收盤價!C47,0)</f>
        <v>0</v>
      </c>
      <c r="M47" s="3">
        <f>IFERROR(I48/每日收盤價!D47,0)</f>
        <v>0</v>
      </c>
      <c r="N47" s="3">
        <f>IFERROR(J48/每日收盤價!E47,0)</f>
        <v>0</v>
      </c>
      <c r="O47">
        <f t="shared" si="1"/>
        <v>0</v>
      </c>
    </row>
    <row r="48" spans="1:15">
      <c r="A48" s="9" t="s">
        <v>51</v>
      </c>
      <c r="B48">
        <f>B47*(1+$CD$2)*(1+每日報酬率!B48)</f>
        <v>0</v>
      </c>
      <c r="C48">
        <f>C47*(1+$CD$2)*(1+每日報酬率!C48)</f>
        <v>0.10519431955787913</v>
      </c>
      <c r="D48">
        <f>D47*(1+$CD$2)*(1+每日報酬率!D48)</f>
        <v>1.1025283239546608</v>
      </c>
      <c r="E48">
        <f>E47*(1+$CD$2)*(1+每日報酬率!E48)</f>
        <v>9.9922785828368485E-2</v>
      </c>
      <c r="F48">
        <f t="shared" si="0"/>
        <v>1.3076454293409083</v>
      </c>
      <c r="K48" s="3">
        <f>IFERROR(G49/每日收盤價!B48,0)</f>
        <v>0</v>
      </c>
      <c r="L48" s="3">
        <f>IFERROR(H49/每日收盤價!C48,0)</f>
        <v>0</v>
      </c>
      <c r="M48" s="3">
        <f>IFERROR(I49/每日收盤價!D48,0)</f>
        <v>0</v>
      </c>
      <c r="N48" s="3">
        <f>IFERROR(J49/每日收盤價!E48,0)</f>
        <v>0</v>
      </c>
      <c r="O48">
        <f t="shared" si="1"/>
        <v>0</v>
      </c>
    </row>
    <row r="49" spans="1:15">
      <c r="A49" s="9" t="s">
        <v>52</v>
      </c>
      <c r="B49">
        <f>B48*(1+$CD$2)*(1+每日報酬率!B49)</f>
        <v>0</v>
      </c>
      <c r="C49">
        <f>C48*(1+$CD$2)*(1+每日報酬率!C49)</f>
        <v>0.10674129484549499</v>
      </c>
      <c r="D49">
        <f>D48*(1+$CD$2)*(1+每日報酬率!D49)</f>
        <v>1.0967407736976809</v>
      </c>
      <c r="E49">
        <f>E48*(1+$CD$2)*(1+每日報酬率!E49)</f>
        <v>9.8184998248744687E-2</v>
      </c>
      <c r="F49">
        <f t="shared" si="0"/>
        <v>1.3016670667919203</v>
      </c>
      <c r="K49" s="3">
        <f>IFERROR(G50/每日收盤價!B49,0)</f>
        <v>0</v>
      </c>
      <c r="L49" s="3">
        <f>IFERROR(H50/每日收盤價!C49,0)</f>
        <v>0</v>
      </c>
      <c r="M49" s="3">
        <f>IFERROR(I50/每日收盤價!D49,0)</f>
        <v>0</v>
      </c>
      <c r="N49" s="3">
        <f>IFERROR(J50/每日收盤價!E49,0)</f>
        <v>0</v>
      </c>
      <c r="O49">
        <f t="shared" si="1"/>
        <v>0</v>
      </c>
    </row>
    <row r="50" spans="1:15">
      <c r="A50" s="9" t="s">
        <v>53</v>
      </c>
      <c r="B50">
        <f>B49*(1+$CD$2)*(1+每日報酬率!B50)</f>
        <v>0</v>
      </c>
      <c r="C50">
        <f>C49*(1+$CD$2)*(1+每日報酬率!C50)</f>
        <v>0.11022198924263069</v>
      </c>
      <c r="D50">
        <f>D49*(1+$CD$2)*(1+每日報酬率!D50)</f>
        <v>1.1343598503680499</v>
      </c>
      <c r="E50">
        <f>E49*(1+$CD$2)*(1+每日報酬率!E50)</f>
        <v>9.9053892038556593E-2</v>
      </c>
      <c r="F50">
        <f t="shared" si="0"/>
        <v>1.3436357316492371</v>
      </c>
      <c r="K50" s="3">
        <f>IFERROR(G51/每日收盤價!B50,0)</f>
        <v>0</v>
      </c>
      <c r="L50" s="3">
        <f>IFERROR(H51/每日收盤價!C50,0)</f>
        <v>0</v>
      </c>
      <c r="M50" s="3">
        <f>IFERROR(I51/每日收盤價!D50,0)</f>
        <v>0</v>
      </c>
      <c r="N50" s="3">
        <f>IFERROR(J51/每日收盤價!E50,0)</f>
        <v>0</v>
      </c>
      <c r="O50">
        <f t="shared" si="1"/>
        <v>0</v>
      </c>
    </row>
    <row r="51" spans="1:15">
      <c r="A51" s="9" t="s">
        <v>54</v>
      </c>
      <c r="B51">
        <f>B50*(1+$CD$2)*(1+每日報酬率!B51)</f>
        <v>0</v>
      </c>
      <c r="C51">
        <f>C50*(1+$CD$2)*(1+每日報酬率!C51)</f>
        <v>0.11254245217405449</v>
      </c>
      <c r="D51">
        <f>D50*(1+$CD$2)*(1+每日報酬率!D51)</f>
        <v>1.1358067379322947</v>
      </c>
      <c r="E51">
        <f>E50*(1+$CD$2)*(1+每日報酬率!E51)</f>
        <v>9.7750551353838741E-2</v>
      </c>
      <c r="F51">
        <f t="shared" si="0"/>
        <v>1.3460997414601881</v>
      </c>
      <c r="K51" s="3">
        <f>IFERROR(G52/每日收盤價!B51,0)</f>
        <v>0</v>
      </c>
      <c r="L51" s="3">
        <f>IFERROR(H52/每日收盤價!C51,0)</f>
        <v>0</v>
      </c>
      <c r="M51" s="3">
        <f>IFERROR(I52/每日收盤價!D51,0)</f>
        <v>0</v>
      </c>
      <c r="N51" s="3">
        <f>IFERROR(J52/每日收盤價!E51,0)</f>
        <v>0</v>
      </c>
      <c r="O51">
        <f t="shared" si="1"/>
        <v>0</v>
      </c>
    </row>
    <row r="52" spans="1:15">
      <c r="A52" s="9" t="s">
        <v>55</v>
      </c>
      <c r="B52">
        <f>B51*(1+$CD$2)*(1+每日報酬率!B52)</f>
        <v>0</v>
      </c>
      <c r="C52">
        <f>C51*(1+$CD$2)*(1+每日報酬率!C52)</f>
        <v>0.11254245217405449</v>
      </c>
      <c r="D52">
        <f>D51*(1+$CD$2)*(1+每日報酬率!D52)</f>
        <v>1.1285723001110699</v>
      </c>
      <c r="E52">
        <f>E51*(1+$CD$2)*(1+每日報酬率!E52)</f>
        <v>9.7316104458932795E-2</v>
      </c>
      <c r="F52">
        <f t="shared" si="0"/>
        <v>1.3384308567440573</v>
      </c>
      <c r="K52" s="3">
        <f>IFERROR(G53/每日收盤價!B52,0)</f>
        <v>0</v>
      </c>
      <c r="L52" s="3">
        <f>IFERROR(H53/每日收盤價!C52,0)</f>
        <v>0</v>
      </c>
      <c r="M52" s="3">
        <f>IFERROR(I53/每日收盤價!D52,0)</f>
        <v>0</v>
      </c>
      <c r="N52" s="3">
        <f>IFERROR(J53/每日收盤價!E52,0)</f>
        <v>0</v>
      </c>
      <c r="O52">
        <f t="shared" si="1"/>
        <v>0</v>
      </c>
    </row>
    <row r="53" spans="1:15">
      <c r="A53" s="9" t="s">
        <v>56</v>
      </c>
      <c r="B53">
        <f>B52*(1+$CD$2)*(1+每日報酬率!B53)</f>
        <v>0</v>
      </c>
      <c r="C53">
        <f>C52*(1+$CD$2)*(1+每日報酬率!C53)</f>
        <v>0.10983524542072672</v>
      </c>
      <c r="D53">
        <f>D52*(1+$CD$2)*(1+每日報酬率!D53)</f>
        <v>1.1314660752395598</v>
      </c>
      <c r="E53">
        <f>E52*(1+$CD$2)*(1+每日報酬率!E53)</f>
        <v>9.8184998248744687E-2</v>
      </c>
      <c r="F53">
        <f t="shared" si="0"/>
        <v>1.3394863189090311</v>
      </c>
      <c r="K53" s="3">
        <f>IFERROR(G54/每日收盤價!B53,0)</f>
        <v>0</v>
      </c>
      <c r="L53" s="3">
        <f>IFERROR(H54/每日收盤價!C53,0)</f>
        <v>0</v>
      </c>
      <c r="M53" s="3">
        <f>IFERROR(I54/每日收盤價!D53,0)</f>
        <v>0</v>
      </c>
      <c r="N53" s="3">
        <f>IFERROR(J54/每日收盤價!E53,0)</f>
        <v>0</v>
      </c>
      <c r="O53">
        <f t="shared" si="1"/>
        <v>0</v>
      </c>
    </row>
    <row r="54" spans="1:15">
      <c r="A54" s="9" t="s">
        <v>57</v>
      </c>
      <c r="B54">
        <f>B53*(1+$CD$2)*(1+每日報酬率!B54)</f>
        <v>0</v>
      </c>
      <c r="C54">
        <f>C53*(1+$CD$2)*(1+每日報酬率!C54)</f>
        <v>0.1148629151054783</v>
      </c>
      <c r="D54">
        <f>D53*(1+$CD$2)*(1+每日報酬率!D54)</f>
        <v>1.1271254125468249</v>
      </c>
      <c r="E54">
        <f>E53*(1+$CD$2)*(1+每日報酬率!E54)</f>
        <v>0.10122612651308634</v>
      </c>
      <c r="F54">
        <f t="shared" si="0"/>
        <v>1.3432144541653894</v>
      </c>
      <c r="K54" s="3">
        <f>IFERROR(G55/每日收盤價!B54,0)</f>
        <v>0</v>
      </c>
      <c r="L54" s="3">
        <f>IFERROR(H55/每日收盤價!C54,0)</f>
        <v>0</v>
      </c>
      <c r="M54" s="3">
        <f>IFERROR(I55/每日收盤價!D54,0)</f>
        <v>0</v>
      </c>
      <c r="N54" s="3">
        <f>IFERROR(J55/每日收盤價!E54,0)</f>
        <v>0</v>
      </c>
      <c r="O54">
        <f t="shared" si="1"/>
        <v>0</v>
      </c>
    </row>
    <row r="55" spans="1:15">
      <c r="A55" s="9" t="s">
        <v>58</v>
      </c>
      <c r="B55">
        <f>B54*(1+$CD$2)*(1+每日報酬率!B55)</f>
        <v>0</v>
      </c>
      <c r="C55">
        <f>C54*(1+$CD$2)*(1+每日報酬率!C55)</f>
        <v>0.12027732861213385</v>
      </c>
      <c r="D55">
        <f>D54*(1+$CD$2)*(1+每日報酬率!D55)</f>
        <v>1.1126565369043753</v>
      </c>
      <c r="E55">
        <f>E54*(1+$CD$2)*(1+每日報酬率!E55)</f>
        <v>0.10079167961818039</v>
      </c>
      <c r="F55">
        <f t="shared" si="0"/>
        <v>1.3337255451346897</v>
      </c>
      <c r="K55" s="3">
        <f>IFERROR(G56/每日收盤價!B55,0)</f>
        <v>0</v>
      </c>
      <c r="L55" s="3">
        <f>IFERROR(H56/每日收盤價!C55,0)</f>
        <v>0</v>
      </c>
      <c r="M55" s="3">
        <f>IFERROR(I56/每日收盤價!D55,0)</f>
        <v>0</v>
      </c>
      <c r="N55" s="3">
        <f>IFERROR(J56/每日收盤價!E55,0)</f>
        <v>0</v>
      </c>
      <c r="O55">
        <f t="shared" si="1"/>
        <v>0</v>
      </c>
    </row>
    <row r="56" spans="1:15">
      <c r="A56" s="9" t="s">
        <v>59</v>
      </c>
      <c r="B56">
        <f>B55*(1+$CD$2)*(1+每日報酬率!B56)</f>
        <v>0</v>
      </c>
      <c r="C56">
        <f>C55*(1+$CD$2)*(1+每日報酬率!C56)</f>
        <v>0.11602314657119021</v>
      </c>
      <c r="D56">
        <f>D55*(1+$CD$2)*(1+每日報酬率!D56)</f>
        <v>1.1271254125468249</v>
      </c>
      <c r="E56">
        <f>E55*(1+$CD$2)*(1+每日報酬率!E56)</f>
        <v>0.10383280788252204</v>
      </c>
      <c r="F56">
        <f t="shared" si="0"/>
        <v>1.3469813670005373</v>
      </c>
      <c r="K56" s="3">
        <f>IFERROR(G57/每日收盤價!B56,0)</f>
        <v>0</v>
      </c>
      <c r="L56" s="3">
        <f>IFERROR(H57/每日收盤價!C56,0)</f>
        <v>0</v>
      </c>
      <c r="M56" s="3">
        <f>IFERROR(I57/每日收盤價!D56,0)</f>
        <v>0</v>
      </c>
      <c r="N56" s="3">
        <f>IFERROR(J57/每日收盤價!E56,0)</f>
        <v>0</v>
      </c>
      <c r="O56">
        <f t="shared" si="1"/>
        <v>0</v>
      </c>
    </row>
    <row r="57" spans="1:15">
      <c r="A57" s="9" t="s">
        <v>60</v>
      </c>
      <c r="B57">
        <f>B56*(1+$CD$2)*(1+每日報酬率!B57)</f>
        <v>0</v>
      </c>
      <c r="C57">
        <f>C56*(1+$CD$2)*(1+每日報酬率!C57)</f>
        <v>0.11640989039309418</v>
      </c>
      <c r="D57">
        <f>D56*(1+$CD$2)*(1+每日報酬率!D57)</f>
        <v>1.1141034244686201</v>
      </c>
      <c r="E57">
        <f>E56*(1+$CD$2)*(1+每日報酬率!E57)</f>
        <v>0.10079167961818039</v>
      </c>
      <c r="F57">
        <f t="shared" si="0"/>
        <v>1.3313049944798947</v>
      </c>
      <c r="K57" s="3">
        <f>IFERROR(G58/每日收盤價!B57,0)</f>
        <v>0</v>
      </c>
      <c r="L57" s="3">
        <f>IFERROR(H58/每日收盤價!C57,0)</f>
        <v>0</v>
      </c>
      <c r="M57" s="3">
        <f>IFERROR(I58/每日收盤價!D57,0)</f>
        <v>0</v>
      </c>
      <c r="N57" s="3">
        <f>IFERROR(J58/每日收盤價!E57,0)</f>
        <v>0</v>
      </c>
      <c r="O57">
        <f t="shared" si="1"/>
        <v>0</v>
      </c>
    </row>
    <row r="58" spans="1:15">
      <c r="A58" s="9" t="s">
        <v>61</v>
      </c>
      <c r="B58">
        <f>B57*(1+$CD$2)*(1+每日報酬率!B58)</f>
        <v>0</v>
      </c>
      <c r="C58">
        <f>C57*(1+$CD$2)*(1+每日報酬率!C58)</f>
        <v>0.12298453536546164</v>
      </c>
      <c r="D58">
        <f>D57*(1+$CD$2)*(1+每日報酬率!D58)</f>
        <v>1.1430411757535193</v>
      </c>
      <c r="E58">
        <f>E57*(1+$CD$2)*(1+每日報酬率!E58)</f>
        <v>0.10122612651308635</v>
      </c>
      <c r="F58">
        <f t="shared" si="0"/>
        <v>1.3672518376320673</v>
      </c>
      <c r="K58" s="3">
        <f>IFERROR(G59/每日收盤價!B58,0)</f>
        <v>0</v>
      </c>
      <c r="L58" s="3">
        <f>IFERROR(H59/每日收盤價!C58,0)</f>
        <v>0</v>
      </c>
      <c r="M58" s="3">
        <f>IFERROR(I59/每日收盤價!D58,0)</f>
        <v>0</v>
      </c>
      <c r="N58" s="3">
        <f>IFERROR(J59/每日收盤價!E58,0)</f>
        <v>0</v>
      </c>
      <c r="O58">
        <f t="shared" si="1"/>
        <v>0</v>
      </c>
    </row>
    <row r="59" spans="1:15">
      <c r="A59" s="9" t="s">
        <v>62</v>
      </c>
      <c r="B59">
        <f>B58*(1+$CD$2)*(1+每日報酬率!B59)</f>
        <v>0</v>
      </c>
      <c r="C59">
        <f>C58*(1+$CD$2)*(1+每日報酬率!C59)</f>
        <v>0.12298453536546164</v>
      </c>
      <c r="D59">
        <f>D58*(1+$CD$2)*(1+每日報酬率!D59)</f>
        <v>1.1285723001110697</v>
      </c>
      <c r="E59">
        <f>E58*(1+$CD$2)*(1+每日報酬率!E59)</f>
        <v>0.1007916796181804</v>
      </c>
      <c r="F59">
        <f t="shared" si="0"/>
        <v>1.3523485150947119</v>
      </c>
      <c r="K59" s="3">
        <f>IFERROR(G60/每日收盤價!B59,0)</f>
        <v>0</v>
      </c>
      <c r="L59" s="3">
        <f>IFERROR(H60/每日收盤價!C59,0)</f>
        <v>0</v>
      </c>
      <c r="M59" s="3">
        <f>IFERROR(I60/每日收盤價!D59,0)</f>
        <v>0</v>
      </c>
      <c r="N59" s="3">
        <f>IFERROR(J60/每日收盤價!E59,0)</f>
        <v>0</v>
      </c>
      <c r="O59">
        <f t="shared" si="1"/>
        <v>0</v>
      </c>
    </row>
    <row r="60" spans="1:15">
      <c r="A60" s="9" t="s">
        <v>63</v>
      </c>
      <c r="B60">
        <f>B59*(1+$CD$2)*(1+每日報酬率!B60)</f>
        <v>0</v>
      </c>
      <c r="C60">
        <f>C59*(1+$CD$2)*(1+每日報酬率!C60)</f>
        <v>0.1222110477216537</v>
      </c>
      <c r="D60">
        <f>D59*(1+$CD$2)*(1+每日報酬率!D60)</f>
        <v>1.1329129628038046</v>
      </c>
      <c r="E60">
        <f>E59*(1+$CD$2)*(1+每日報酬率!E60)</f>
        <v>9.9922785828368513E-2</v>
      </c>
      <c r="F60">
        <f t="shared" si="0"/>
        <v>1.3550467963538266</v>
      </c>
      <c r="K60" s="3">
        <f>IFERROR(G61/每日收盤價!B60,0)</f>
        <v>0</v>
      </c>
      <c r="L60" s="3">
        <f>IFERROR(H61/每日收盤價!C60,0)</f>
        <v>0</v>
      </c>
      <c r="M60" s="3">
        <f>IFERROR(I61/每日收盤價!D60,0)</f>
        <v>0</v>
      </c>
      <c r="N60" s="3">
        <f>IFERROR(J61/每日收盤價!E60,0)</f>
        <v>0</v>
      </c>
      <c r="O60">
        <f t="shared" si="1"/>
        <v>0</v>
      </c>
    </row>
    <row r="61" spans="1:15">
      <c r="A61" s="9" t="s">
        <v>64</v>
      </c>
      <c r="B61">
        <f>B60*(1+$CD$2)*(1+每日報酬率!B61)</f>
        <v>0</v>
      </c>
      <c r="C61">
        <f>C60*(1+$CD$2)*(1+每日報酬率!C61)</f>
        <v>0.1222110477216537</v>
      </c>
      <c r="D61">
        <f>D60*(1+$CD$2)*(1+每日報酬率!D61)</f>
        <v>1.1850009151166232</v>
      </c>
      <c r="E61">
        <f>E60*(1+$CD$2)*(1+每日報酬率!E61)</f>
        <v>0.1007916796181804</v>
      </c>
      <c r="F61">
        <f t="shared" si="0"/>
        <v>1.4080036424564573</v>
      </c>
      <c r="K61" s="3">
        <f>IFERROR(G62/每日收盤價!B61,0)</f>
        <v>0</v>
      </c>
      <c r="L61" s="3">
        <f>IFERROR(H62/每日收盤價!C61,0)</f>
        <v>0</v>
      </c>
      <c r="M61" s="3">
        <f>IFERROR(I62/每日收盤價!D61,0)</f>
        <v>0</v>
      </c>
      <c r="N61" s="3">
        <f>IFERROR(J62/每日收盤價!E61,0)</f>
        <v>0</v>
      </c>
      <c r="O61">
        <f t="shared" si="1"/>
        <v>0</v>
      </c>
    </row>
    <row r="62" spans="1:15">
      <c r="A62" s="9" t="s">
        <v>65</v>
      </c>
      <c r="B62">
        <f>B61*(1+$CD$2)*(1+每日報酬率!B62)</f>
        <v>0</v>
      </c>
      <c r="C62">
        <f>C61*(1+$CD$2)*(1+每日報酬率!C62)</f>
        <v>0.11950384096832592</v>
      </c>
      <c r="D62">
        <f>D61*(1+$CD$2)*(1+每日報酬率!D62)</f>
        <v>1.1792133648596435</v>
      </c>
      <c r="E62">
        <f>E61*(1+$CD$2)*(1+每日報酬率!E62)</f>
        <v>0.10383280788252205</v>
      </c>
      <c r="F62">
        <f t="shared" si="0"/>
        <v>1.4025500137104916</v>
      </c>
      <c r="K62" s="3">
        <f>IFERROR(G63/每日收盤價!B62,0)</f>
        <v>0</v>
      </c>
      <c r="L62" s="3">
        <f>IFERROR(H63/每日收盤價!C62,0)</f>
        <v>0</v>
      </c>
      <c r="M62" s="3">
        <f>IFERROR(I63/每日收盤價!D62,0)</f>
        <v>0</v>
      </c>
      <c r="N62" s="3">
        <f>IFERROR(J63/每日收盤價!E62,0)</f>
        <v>0</v>
      </c>
      <c r="O62">
        <f t="shared" si="1"/>
        <v>0</v>
      </c>
    </row>
    <row r="63" spans="1:15">
      <c r="A63" s="9" t="s">
        <v>66</v>
      </c>
      <c r="B63">
        <f>B62*(1+$CD$2)*(1+每日報酬率!B63)</f>
        <v>0</v>
      </c>
      <c r="C63">
        <f>C62*(1+$CD$2)*(1+每日報酬率!C63)</f>
        <v>0.11602314657119021</v>
      </c>
      <c r="D63">
        <f>D62*(1+$CD$2)*(1+每日報酬率!D63)</f>
        <v>1.1864478026808682</v>
      </c>
      <c r="E63">
        <f>E62*(1+$CD$2)*(1+每日報酬率!E63)</f>
        <v>0.104267254777428</v>
      </c>
      <c r="F63">
        <f t="shared" si="0"/>
        <v>1.4067382040294865</v>
      </c>
      <c r="K63" s="3">
        <f>IFERROR(G64/每日收盤價!B63,0)</f>
        <v>0</v>
      </c>
      <c r="L63" s="3">
        <f>IFERROR(H64/每日收盤價!C63,0)</f>
        <v>0</v>
      </c>
      <c r="M63" s="3">
        <f>IFERROR(I64/每日收盤價!D63,0)</f>
        <v>0</v>
      </c>
      <c r="N63" s="3">
        <f>IFERROR(J64/每日收盤價!E63,0)</f>
        <v>0</v>
      </c>
      <c r="O63">
        <f t="shared" si="1"/>
        <v>0</v>
      </c>
    </row>
    <row r="64" spans="1:15">
      <c r="A64" s="9" t="s">
        <v>67</v>
      </c>
      <c r="B64">
        <f>B63*(1+$CD$2)*(1+每日報酬率!B64)</f>
        <v>0</v>
      </c>
      <c r="C64">
        <f>C63*(1+$CD$2)*(1+每日報酬率!C64)</f>
        <v>0.11640989039309418</v>
      </c>
      <c r="D64">
        <f>D63*(1+$CD$2)*(1+每日報酬率!D64)</f>
        <v>1.1835540275523784</v>
      </c>
      <c r="E64">
        <f>E63*(1+$CD$2)*(1+每日報酬率!E64)</f>
        <v>0.10252946719780419</v>
      </c>
      <c r="F64">
        <f t="shared" si="0"/>
        <v>1.4024933851432766</v>
      </c>
      <c r="K64" s="3">
        <f>IFERROR(G65/每日收盤價!B64,0)</f>
        <v>0</v>
      </c>
      <c r="L64" s="3">
        <f>IFERROR(H65/每日收盤價!C64,0)</f>
        <v>0</v>
      </c>
      <c r="M64" s="3">
        <f>IFERROR(I65/每日收盤價!D64,0)</f>
        <v>0</v>
      </c>
      <c r="N64" s="3">
        <f>IFERROR(J65/每日收盤價!E64,0)</f>
        <v>0</v>
      </c>
      <c r="O64">
        <f t="shared" si="1"/>
        <v>0</v>
      </c>
    </row>
    <row r="65" spans="1:15">
      <c r="A65" s="9" t="s">
        <v>68</v>
      </c>
      <c r="B65">
        <f>B64*(1+$CD$2)*(1+每日報酬率!B65)</f>
        <v>0</v>
      </c>
      <c r="C65">
        <f>C64*(1+$CD$2)*(1+每日報酬率!C65)</f>
        <v>0.11292919599595848</v>
      </c>
      <c r="D65">
        <f>D64*(1+$CD$2)*(1+每日報酬率!D65)</f>
        <v>1.1661913767814389</v>
      </c>
      <c r="E65">
        <f>E64*(1+$CD$2)*(1+每日報酬率!E65)</f>
        <v>9.6447210669120889E-2</v>
      </c>
      <c r="F65">
        <f t="shared" si="0"/>
        <v>1.3755677834465183</v>
      </c>
      <c r="K65" s="3">
        <f>IFERROR(G66/每日收盤價!B65,0)</f>
        <v>0</v>
      </c>
      <c r="L65" s="3">
        <f>IFERROR(H66/每日收盤價!C65,0)</f>
        <v>0</v>
      </c>
      <c r="M65" s="3">
        <f>IFERROR(I66/每日收盤價!D65,0)</f>
        <v>0</v>
      </c>
      <c r="N65" s="3">
        <f>IFERROR(J66/每日收盤價!E65,0)</f>
        <v>0</v>
      </c>
      <c r="O65">
        <f t="shared" si="1"/>
        <v>0</v>
      </c>
    </row>
    <row r="66" spans="1:15">
      <c r="A66" s="9" t="s">
        <v>69</v>
      </c>
      <c r="B66">
        <f>B65*(1+$CD$2)*(1+每日報酬率!B66)</f>
        <v>0</v>
      </c>
      <c r="C66">
        <f>C65*(1+$CD$2)*(1+每日報酬率!C66)</f>
        <v>0.1090617577769188</v>
      </c>
      <c r="D66">
        <f>D65*(1+$CD$2)*(1+每日報酬率!D66)</f>
        <v>1.1401474006250296</v>
      </c>
      <c r="E66">
        <f>E65*(1+$CD$2)*(1+每日報酬率!E66)</f>
        <v>9.1668294825155441E-2</v>
      </c>
      <c r="F66">
        <f t="shared" si="0"/>
        <v>1.3408774532271039</v>
      </c>
      <c r="K66" s="3">
        <f>IFERROR(G67/每日收盤價!B66,0)</f>
        <v>0</v>
      </c>
      <c r="L66" s="3">
        <f>IFERROR(H67/每日收盤價!C66,0)</f>
        <v>0</v>
      </c>
      <c r="M66" s="3">
        <f>IFERROR(I67/每日收盤價!D66,0)</f>
        <v>0</v>
      </c>
      <c r="N66" s="3">
        <f>IFERROR(J67/每日收盤價!E66,0)</f>
        <v>0</v>
      </c>
      <c r="O66">
        <f t="shared" si="1"/>
        <v>0</v>
      </c>
    </row>
    <row r="67" spans="1:15">
      <c r="A67" s="9" t="s">
        <v>70</v>
      </c>
      <c r="B67">
        <f>B66*(1+$CD$2)*(1+每日報酬率!B67)</f>
        <v>0</v>
      </c>
      <c r="C67">
        <f>C66*(1+$CD$2)*(1+每日報酬率!C67)</f>
        <v>0.11331593981786243</v>
      </c>
      <c r="D67">
        <f>D66*(1+$CD$2)*(1+每日報酬率!D67)</f>
        <v>1.163297601652949</v>
      </c>
      <c r="E67">
        <f>E66*(1+$CD$2)*(1+每日報酬率!E67)</f>
        <v>9.1233847930249481E-2</v>
      </c>
      <c r="F67">
        <f t="shared" ref="F67:F130" si="2">SUM(B67:E67)</f>
        <v>1.367847389401061</v>
      </c>
      <c r="K67" s="3">
        <f>IFERROR(G68/每日收盤價!B67,0)</f>
        <v>0</v>
      </c>
      <c r="L67" s="3">
        <f>IFERROR(H68/每日收盤價!C67,0)</f>
        <v>0</v>
      </c>
      <c r="M67" s="3">
        <f>IFERROR(I68/每日收盤價!D67,0)</f>
        <v>0</v>
      </c>
      <c r="N67" s="3">
        <f>IFERROR(J68/每日收盤價!E67,0)</f>
        <v>0</v>
      </c>
      <c r="O67">
        <f t="shared" ref="O67:O130" si="3">SUM(K67:N67)</f>
        <v>0</v>
      </c>
    </row>
    <row r="68" spans="1:15">
      <c r="A68" s="9" t="s">
        <v>71</v>
      </c>
      <c r="B68">
        <f>B67*(1+$CD$2)*(1+每日報酬率!B68)</f>
        <v>0</v>
      </c>
      <c r="C68">
        <f>C67*(1+$CD$2)*(1+每日報酬率!C68)</f>
        <v>0.11447617128357433</v>
      </c>
      <c r="D68">
        <f>D67*(1+$CD$2)*(1+每日報酬率!D68)</f>
        <v>1.163297601652949</v>
      </c>
      <c r="E68">
        <f>E67*(1+$CD$2)*(1+每日報酬率!E68)</f>
        <v>9.1233847930249481E-2</v>
      </c>
      <c r="F68">
        <f t="shared" si="2"/>
        <v>1.3690076208667727</v>
      </c>
      <c r="K68" s="3">
        <f>IFERROR(G69/每日收盤價!B68,0)</f>
        <v>0</v>
      </c>
      <c r="L68" s="3">
        <f>IFERROR(H69/每日收盤價!C68,0)</f>
        <v>0</v>
      </c>
      <c r="M68" s="3">
        <f>IFERROR(I69/每日收盤價!D68,0)</f>
        <v>0</v>
      </c>
      <c r="N68" s="3">
        <f>IFERROR(J69/每日收盤價!E68,0)</f>
        <v>0</v>
      </c>
      <c r="O68">
        <f t="shared" si="3"/>
        <v>0</v>
      </c>
    </row>
    <row r="69" spans="1:15">
      <c r="A69" s="9" t="s">
        <v>72</v>
      </c>
      <c r="B69">
        <f>B68*(1+$CD$2)*(1+每日報酬率!B69)</f>
        <v>0</v>
      </c>
      <c r="C69">
        <f>C68*(1+$CD$2)*(1+每日報酬率!C69)</f>
        <v>0.11060873306453466</v>
      </c>
      <c r="D69">
        <f>D68*(1+$CD$2)*(1+每日報酬率!D69)</f>
        <v>1.0851656731837211</v>
      </c>
      <c r="E69">
        <f>E68*(1+$CD$2)*(1+每日報酬率!E69)</f>
        <v>8.6281153328321647E-2</v>
      </c>
      <c r="F69">
        <f t="shared" si="2"/>
        <v>1.2820555595765775</v>
      </c>
      <c r="K69" s="3">
        <f>IFERROR(G70/每日收盤價!B69,0)</f>
        <v>0</v>
      </c>
      <c r="L69" s="3">
        <f>IFERROR(H70/每日收盤價!C69,0)</f>
        <v>0</v>
      </c>
      <c r="M69" s="3">
        <f>IFERROR(I70/每日收盤價!D69,0)</f>
        <v>0</v>
      </c>
      <c r="N69" s="3">
        <f>IFERROR(J70/每日收盤價!E69,0)</f>
        <v>0</v>
      </c>
      <c r="O69">
        <f t="shared" si="3"/>
        <v>0</v>
      </c>
    </row>
    <row r="70" spans="1:15">
      <c r="A70" s="9" t="s">
        <v>73</v>
      </c>
      <c r="B70">
        <f>B69*(1+$CD$2)*(1+每日報酬率!B70)</f>
        <v>0</v>
      </c>
      <c r="C70">
        <f>C69*(1+$CD$2)*(1+每日報酬率!C70)</f>
        <v>0.11060873306453466</v>
      </c>
      <c r="D70">
        <f>D69*(1+$CD$2)*(1+每日報酬率!D70)</f>
        <v>1.0735905726697614</v>
      </c>
      <c r="E70">
        <f>E69*(1+$CD$2)*(1+每日報酬率!E70)</f>
        <v>8.3935140095829516E-2</v>
      </c>
      <c r="F70">
        <f t="shared" si="2"/>
        <v>1.2681344458301256</v>
      </c>
      <c r="K70" s="3">
        <f>IFERROR(G71/每日收盤價!B70,0)</f>
        <v>0</v>
      </c>
      <c r="L70" s="3">
        <f>IFERROR(H71/每日收盤價!C70,0)</f>
        <v>0</v>
      </c>
      <c r="M70" s="3">
        <f>IFERROR(I71/每日收盤價!D70,0)</f>
        <v>0</v>
      </c>
      <c r="N70" s="3">
        <f>IFERROR(J71/每日收盤價!E70,0)</f>
        <v>0</v>
      </c>
      <c r="O70">
        <f t="shared" si="3"/>
        <v>0</v>
      </c>
    </row>
    <row r="71" spans="1:15">
      <c r="A71" s="9" t="s">
        <v>74</v>
      </c>
      <c r="B71">
        <f>B70*(1+$CD$2)*(1+每日報酬率!B71)</f>
        <v>0</v>
      </c>
      <c r="C71">
        <f>C70*(1+$CD$2)*(1+每日報酬率!C71)</f>
        <v>0.1113822207083426</v>
      </c>
      <c r="D71">
        <f>D70*(1+$CD$2)*(1+每日報酬率!D71)</f>
        <v>1.0909532234407011</v>
      </c>
      <c r="E71">
        <f>E70*(1+$CD$2)*(1+每日報酬率!E71)</f>
        <v>8.4456476369716649E-2</v>
      </c>
      <c r="F71">
        <f t="shared" si="2"/>
        <v>1.2867919205187603</v>
      </c>
      <c r="K71" s="3">
        <f>IFERROR(G72/每日收盤價!B71,0)</f>
        <v>0</v>
      </c>
      <c r="L71" s="3">
        <f>IFERROR(H72/每日收盤價!C71,0)</f>
        <v>0</v>
      </c>
      <c r="M71" s="3">
        <f>IFERROR(I72/每日收盤價!D71,0)</f>
        <v>0</v>
      </c>
      <c r="N71" s="3">
        <f>IFERROR(J72/每日收盤價!E71,0)</f>
        <v>0</v>
      </c>
      <c r="O71">
        <f t="shared" si="3"/>
        <v>0</v>
      </c>
    </row>
    <row r="72" spans="1:15">
      <c r="A72" s="9" t="s">
        <v>75</v>
      </c>
      <c r="B72">
        <f>B71*(1+$CD$2)*(1+每日報酬率!B72)</f>
        <v>0</v>
      </c>
      <c r="C72">
        <f>C71*(1+$CD$2)*(1+每日報酬率!C72)</f>
        <v>0.1206640724340378</v>
      </c>
      <c r="D72">
        <f>D71*(1+$CD$2)*(1+每日報酬率!D72)</f>
        <v>1.132912962803805</v>
      </c>
      <c r="E72">
        <f>E71*(1+$CD$2)*(1+每日報酬率!E72)</f>
        <v>8.7758272771001872E-2</v>
      </c>
      <c r="F72">
        <f t="shared" si="2"/>
        <v>1.3413353080088446</v>
      </c>
      <c r="K72" s="3">
        <f>IFERROR(G73/每日收盤價!B72,0)</f>
        <v>0</v>
      </c>
      <c r="L72" s="3">
        <f>IFERROR(H73/每日收盤價!C72,0)</f>
        <v>0</v>
      </c>
      <c r="M72" s="3">
        <f>IFERROR(I73/每日收盤價!D72,0)</f>
        <v>0</v>
      </c>
      <c r="N72" s="3">
        <f>IFERROR(J73/每日收盤價!E72,0)</f>
        <v>0</v>
      </c>
      <c r="O72">
        <f t="shared" si="3"/>
        <v>0</v>
      </c>
    </row>
    <row r="73" spans="1:15">
      <c r="A73" s="9" t="s">
        <v>76</v>
      </c>
      <c r="B73">
        <f>B72*(1+$CD$2)*(1+每日報酬率!B73)</f>
        <v>0</v>
      </c>
      <c r="C73">
        <f>C72*(1+$CD$2)*(1+每日報酬率!C73)</f>
        <v>0.1171833780369021</v>
      </c>
      <c r="D73">
        <f>D72*(1+$CD$2)*(1+每日報酬率!D73)</f>
        <v>1.1083158742116406</v>
      </c>
      <c r="E73">
        <f>E72*(1+$CD$2)*(1+每日報酬率!E73)</f>
        <v>8.5238480780547354E-2</v>
      </c>
      <c r="F73">
        <f t="shared" si="2"/>
        <v>1.3107377330290899</v>
      </c>
      <c r="K73" s="3">
        <f>IFERROR(G74/每日收盤價!B73,0)</f>
        <v>0</v>
      </c>
      <c r="L73" s="3">
        <f>IFERROR(H74/每日收盤價!C73,0)</f>
        <v>0</v>
      </c>
      <c r="M73" s="3">
        <f>IFERROR(I74/每日收盤價!D73,0)</f>
        <v>0</v>
      </c>
      <c r="N73" s="3">
        <f>IFERROR(J74/每日收盤價!E73,0)</f>
        <v>0</v>
      </c>
      <c r="O73">
        <f t="shared" si="3"/>
        <v>0</v>
      </c>
    </row>
    <row r="74" spans="1:15">
      <c r="A74" s="9" t="s">
        <v>77</v>
      </c>
      <c r="B74">
        <f>B73*(1+$CD$2)*(1+每日報酬率!B74)</f>
        <v>0</v>
      </c>
      <c r="C74">
        <f>C73*(1+$CD$2)*(1+每日報酬率!C74)</f>
        <v>0.11989058479022986</v>
      </c>
      <c r="D74">
        <f>D73*(1+$CD$2)*(1+每日報酬率!D74)</f>
        <v>1.13146607523956</v>
      </c>
      <c r="E74">
        <f>E73*(1+$CD$2)*(1+每日報酬率!E74)</f>
        <v>8.7323825876095912E-2</v>
      </c>
      <c r="F74">
        <f t="shared" si="2"/>
        <v>1.3386804859058858</v>
      </c>
      <c r="K74" s="3">
        <f>IFERROR(G75/每日收盤價!B74,0)</f>
        <v>0</v>
      </c>
      <c r="L74" s="3">
        <f>IFERROR(H75/每日收盤價!C74,0)</f>
        <v>0</v>
      </c>
      <c r="M74" s="3">
        <f>IFERROR(I75/每日收盤價!D74,0)</f>
        <v>0</v>
      </c>
      <c r="N74" s="3">
        <f>IFERROR(J75/每日收盤價!E74,0)</f>
        <v>0</v>
      </c>
      <c r="O74">
        <f t="shared" si="3"/>
        <v>0</v>
      </c>
    </row>
    <row r="75" spans="1:15">
      <c r="A75" s="9" t="s">
        <v>78</v>
      </c>
      <c r="B75">
        <f>B74*(1+$CD$2)*(1+每日報酬率!B75)</f>
        <v>0</v>
      </c>
      <c r="C75">
        <f>C74*(1+$CD$2)*(1+每日報酬率!C75)</f>
        <v>0.12259779154355763</v>
      </c>
      <c r="D75">
        <f>D74*(1+$CD$2)*(1+每日報酬率!D75)</f>
        <v>1.1502756135747445</v>
      </c>
      <c r="E75">
        <f>E74*(1+$CD$2)*(1+每日報酬率!E75)</f>
        <v>8.8192719665907804E-2</v>
      </c>
      <c r="F75">
        <f t="shared" si="2"/>
        <v>1.36106612478421</v>
      </c>
      <c r="K75" s="3">
        <f>IFERROR(G76/每日收盤價!B75,0)</f>
        <v>0</v>
      </c>
      <c r="L75" s="3">
        <f>IFERROR(H76/每日收盤價!C75,0)</f>
        <v>0</v>
      </c>
      <c r="M75" s="3">
        <f>IFERROR(I76/每日收盤價!D75,0)</f>
        <v>0</v>
      </c>
      <c r="N75" s="3">
        <f>IFERROR(J76/每日收盤價!E75,0)</f>
        <v>0</v>
      </c>
      <c r="O75">
        <f t="shared" si="3"/>
        <v>0</v>
      </c>
    </row>
    <row r="76" spans="1:15">
      <c r="A76" s="9" t="s">
        <v>79</v>
      </c>
      <c r="B76">
        <f>B75*(1+$CD$2)*(1+每日報酬率!B76)</f>
        <v>0</v>
      </c>
      <c r="C76">
        <f>C75*(1+$CD$2)*(1+每日報酬率!C76)</f>
        <v>0.12066407243403779</v>
      </c>
      <c r="D76">
        <f>D75*(1+$CD$2)*(1+每日報酬率!D76)</f>
        <v>1.1430411757535197</v>
      </c>
      <c r="E76">
        <f>E75*(1+$CD$2)*(1+每日報酬率!E76)</f>
        <v>8.6194263949340433E-2</v>
      </c>
      <c r="F76">
        <f t="shared" si="2"/>
        <v>1.349899512136898</v>
      </c>
      <c r="K76" s="3">
        <f>IFERROR(G77/每日收盤價!B76,0)</f>
        <v>0</v>
      </c>
      <c r="L76" s="3">
        <f>IFERROR(H77/每日收盤價!C76,0)</f>
        <v>0</v>
      </c>
      <c r="M76" s="3">
        <f>IFERROR(I77/每日收盤價!D76,0)</f>
        <v>0</v>
      </c>
      <c r="N76" s="3">
        <f>IFERROR(J77/每日收盤價!E76,0)</f>
        <v>0</v>
      </c>
      <c r="O76">
        <f t="shared" si="3"/>
        <v>0</v>
      </c>
    </row>
    <row r="77" spans="1:15">
      <c r="A77" s="9" t="s">
        <v>80</v>
      </c>
      <c r="B77">
        <f>B76*(1+$CD$2)*(1+每日報酬率!B77)</f>
        <v>0</v>
      </c>
      <c r="C77">
        <f>C76*(1+$CD$2)*(1+每日報酬率!C77)</f>
        <v>0.11911709714642192</v>
      </c>
      <c r="D77">
        <f>D76*(1+$CD$2)*(1+每日報酬率!D77)</f>
        <v>1.1169971995971104</v>
      </c>
      <c r="E77">
        <f>E76*(1+$CD$2)*(1+每日報酬率!E77)</f>
        <v>8.6889378981189952E-2</v>
      </c>
      <c r="F77">
        <f t="shared" si="2"/>
        <v>1.3230036757247223</v>
      </c>
      <c r="K77" s="3">
        <f>IFERROR(G78/每日收盤價!B77,0)</f>
        <v>0</v>
      </c>
      <c r="L77" s="3">
        <f>IFERROR(H78/每日收盤價!C77,0)</f>
        <v>0</v>
      </c>
      <c r="M77" s="3">
        <f>IFERROR(I78/每日收盤價!D77,0)</f>
        <v>0</v>
      </c>
      <c r="N77" s="3">
        <f>IFERROR(J78/每日收盤價!E77,0)</f>
        <v>0</v>
      </c>
      <c r="O77">
        <f t="shared" si="3"/>
        <v>0</v>
      </c>
    </row>
    <row r="78" spans="1:15">
      <c r="A78" s="9" t="s">
        <v>81</v>
      </c>
      <c r="B78">
        <f>B77*(1+$CD$2)*(1+每日報酬率!B78)</f>
        <v>0</v>
      </c>
      <c r="C78">
        <f>C77*(1+$CD$2)*(1+每日報酬率!C78)</f>
        <v>0.12066407243403778</v>
      </c>
      <c r="D78">
        <f>D77*(1+$CD$2)*(1+每日報酬率!D78)</f>
        <v>1.1285723001110701</v>
      </c>
      <c r="E78">
        <f>E77*(1+$CD$2)*(1+每日報酬率!E78)</f>
        <v>9.0364954140437548E-2</v>
      </c>
      <c r="F78">
        <f t="shared" si="2"/>
        <v>1.3396013266855453</v>
      </c>
      <c r="K78" s="3">
        <f>IFERROR(G79/每日收盤價!B78,0)</f>
        <v>0</v>
      </c>
      <c r="L78" s="3">
        <f>IFERROR(H79/每日收盤價!C78,0)</f>
        <v>0</v>
      </c>
      <c r="M78" s="3">
        <f>IFERROR(I79/每日收盤價!D78,0)</f>
        <v>0</v>
      </c>
      <c r="N78" s="3">
        <f>IFERROR(J79/每日收盤價!E78,0)</f>
        <v>0</v>
      </c>
      <c r="O78">
        <f t="shared" si="3"/>
        <v>0</v>
      </c>
    </row>
    <row r="79" spans="1:15">
      <c r="A79" s="9" t="s">
        <v>82</v>
      </c>
      <c r="B79">
        <f>B78*(1+$CD$2)*(1+每日報酬率!B79)</f>
        <v>0</v>
      </c>
      <c r="C79">
        <f>C78*(1+$CD$2)*(1+每日報酬率!C79)</f>
        <v>0.12955918033782901</v>
      </c>
      <c r="D79">
        <f>D78*(1+$CD$2)*(1+每日報酬率!D79)</f>
        <v>1.13725362549654</v>
      </c>
      <c r="E79">
        <f>E78*(1+$CD$2)*(1+每日報酬率!E79)</f>
        <v>8.9930507245531602E-2</v>
      </c>
      <c r="F79">
        <f t="shared" si="2"/>
        <v>1.3567433130799007</v>
      </c>
      <c r="K79" s="3">
        <f>IFERROR(G80/每日收盤價!B79,0)</f>
        <v>0</v>
      </c>
      <c r="L79" s="3">
        <f>IFERROR(H80/每日收盤價!C79,0)</f>
        <v>0</v>
      </c>
      <c r="M79" s="3">
        <f>IFERROR(I80/每日收盤價!D79,0)</f>
        <v>0</v>
      </c>
      <c r="N79" s="3">
        <f>IFERROR(J80/每日收盤價!E79,0)</f>
        <v>0</v>
      </c>
      <c r="O79">
        <f t="shared" si="3"/>
        <v>0</v>
      </c>
    </row>
    <row r="80" spans="1:15">
      <c r="A80" s="9" t="s">
        <v>83</v>
      </c>
      <c r="B80">
        <f>B79*(1+$CD$2)*(1+每日報酬率!B80)</f>
        <v>0</v>
      </c>
      <c r="C80">
        <f>C79*(1+$CD$2)*(1+每日報酬率!C80)</f>
        <v>0.13110615562544486</v>
      </c>
      <c r="D80">
        <f>D79*(1+$CD$2)*(1+每日報酬率!D80)</f>
        <v>1.1575100513959695</v>
      </c>
      <c r="E80">
        <f>E79*(1+$CD$2)*(1+每日報酬率!E80)</f>
        <v>9.0799401035343508E-2</v>
      </c>
      <c r="F80">
        <f t="shared" si="2"/>
        <v>1.3794156080567579</v>
      </c>
      <c r="K80" s="3">
        <f>IFERROR(G81/每日收盤價!B80,0)</f>
        <v>0</v>
      </c>
      <c r="L80" s="3">
        <f>IFERROR(H81/每日收盤價!C80,0)</f>
        <v>0</v>
      </c>
      <c r="M80" s="3">
        <f>IFERROR(I81/每日收盤價!D80,0)</f>
        <v>0</v>
      </c>
      <c r="N80" s="3">
        <f>IFERROR(J81/每日收盤價!E80,0)</f>
        <v>0</v>
      </c>
      <c r="O80">
        <f t="shared" si="3"/>
        <v>0</v>
      </c>
    </row>
    <row r="81" spans="1:15">
      <c r="A81" s="9" t="s">
        <v>84</v>
      </c>
      <c r="B81">
        <f>B80*(1+$CD$2)*(1+每日報酬率!B81)</f>
        <v>0</v>
      </c>
      <c r="C81">
        <f>C80*(1+$CD$2)*(1+每日報酬率!C81)</f>
        <v>0.13110615562544486</v>
      </c>
      <c r="D81">
        <f>D80*(1+$CD$2)*(1+每日報酬率!D81)</f>
        <v>1.1604038265244594</v>
      </c>
      <c r="E81">
        <f>E80*(1+$CD$2)*(1+每日報酬率!E81)</f>
        <v>9.5143869984403009E-2</v>
      </c>
      <c r="F81">
        <f t="shared" si="2"/>
        <v>1.3866538521343073</v>
      </c>
      <c r="K81" s="3">
        <f>IFERROR(G82/每日收盤價!B81,0)</f>
        <v>0</v>
      </c>
      <c r="L81" s="3">
        <f>IFERROR(H82/每日收盤價!C81,0)</f>
        <v>0</v>
      </c>
      <c r="M81" s="3">
        <f>IFERROR(I82/每日收盤價!D81,0)</f>
        <v>0</v>
      </c>
      <c r="N81" s="3">
        <f>IFERROR(J82/每日收盤價!E81,0)</f>
        <v>0</v>
      </c>
      <c r="O81">
        <f t="shared" si="3"/>
        <v>0</v>
      </c>
    </row>
    <row r="82" spans="1:15">
      <c r="A82" s="9" t="s">
        <v>85</v>
      </c>
      <c r="B82">
        <f>B81*(1+$CD$2)*(1+每日報酬率!B82)</f>
        <v>0</v>
      </c>
      <c r="C82">
        <f>C81*(1+$CD$2)*(1+每日報酬率!C82)</f>
        <v>0.13187964326925281</v>
      </c>
      <c r="D82">
        <f>D81*(1+$CD$2)*(1+每日報酬率!D82)</f>
        <v>1.1517225011389896</v>
      </c>
      <c r="E82">
        <f>E81*(1+$CD$2)*(1+每日報酬率!E82)</f>
        <v>9.5143869984403009E-2</v>
      </c>
      <c r="F82">
        <f t="shared" si="2"/>
        <v>1.3787460143926453</v>
      </c>
      <c r="K82" s="3">
        <f>IFERROR(G83/每日收盤價!B82,0)</f>
        <v>0</v>
      </c>
      <c r="L82" s="3">
        <f>IFERROR(H83/每日收盤價!C82,0)</f>
        <v>0</v>
      </c>
      <c r="M82" s="3">
        <f>IFERROR(I83/每日收盤價!D82,0)</f>
        <v>0</v>
      </c>
      <c r="N82" s="3">
        <f>IFERROR(J83/每日收盤價!E82,0)</f>
        <v>0</v>
      </c>
      <c r="O82">
        <f t="shared" si="3"/>
        <v>0</v>
      </c>
    </row>
    <row r="83" spans="1:15">
      <c r="A83" s="9" t="s">
        <v>86</v>
      </c>
      <c r="B83">
        <f>B82*(1+$CD$2)*(1+每日報酬率!B83)</f>
        <v>0</v>
      </c>
      <c r="C83">
        <f>C82*(1+$CD$2)*(1+每日報酬率!C83)</f>
        <v>0.13110615562544486</v>
      </c>
      <c r="D83">
        <f>D82*(1+$CD$2)*(1+每日報酬率!D83)</f>
        <v>1.1604038265244594</v>
      </c>
      <c r="E83">
        <f>E82*(1+$CD$2)*(1+每日報酬率!E83)</f>
        <v>9.5143869984403009E-2</v>
      </c>
      <c r="F83">
        <f t="shared" si="2"/>
        <v>1.3866538521343073</v>
      </c>
      <c r="K83" s="3">
        <f>IFERROR(G84/每日收盤價!B83,0)</f>
        <v>0</v>
      </c>
      <c r="L83" s="3">
        <f>IFERROR(H84/每日收盤價!C83,0)</f>
        <v>0</v>
      </c>
      <c r="M83" s="3">
        <f>IFERROR(I84/每日收盤價!D83,0)</f>
        <v>0</v>
      </c>
      <c r="N83" s="3">
        <f>IFERROR(J84/每日收盤價!E83,0)</f>
        <v>0</v>
      </c>
      <c r="O83">
        <f t="shared" si="3"/>
        <v>0</v>
      </c>
    </row>
    <row r="84" spans="1:15">
      <c r="A84" s="9" t="s">
        <v>87</v>
      </c>
      <c r="B84">
        <f>B83*(1+$CD$2)*(1+每日報酬率!B84)</f>
        <v>0</v>
      </c>
      <c r="C84">
        <f>C83*(1+$CD$2)*(1+每日報酬率!C84)</f>
        <v>0.13110615562544486</v>
      </c>
      <c r="D84">
        <f>D83*(1+$CD$2)*(1+每日報酬率!D84)</f>
        <v>1.1850009151166239</v>
      </c>
      <c r="E84">
        <f>E83*(1+$CD$2)*(1+每日報酬率!E84)</f>
        <v>9.6881657564026807E-2</v>
      </c>
      <c r="F84">
        <f t="shared" si="2"/>
        <v>1.4129887283060956</v>
      </c>
      <c r="K84" s="3">
        <f>IFERROR(G85/每日收盤價!B84,0)</f>
        <v>0</v>
      </c>
      <c r="L84" s="3">
        <f>IFERROR(H85/每日收盤價!C84,0)</f>
        <v>0</v>
      </c>
      <c r="M84" s="3">
        <f>IFERROR(I85/每日收盤價!D84,0)</f>
        <v>0</v>
      </c>
      <c r="N84" s="3">
        <f>IFERROR(J85/每日收盤價!E84,0)</f>
        <v>0</v>
      </c>
      <c r="O84">
        <f t="shared" si="3"/>
        <v>0</v>
      </c>
    </row>
    <row r="85" spans="1:15">
      <c r="A85" s="9" t="s">
        <v>88</v>
      </c>
      <c r="B85">
        <f>B84*(1+$CD$2)*(1+每日報酬率!B85)</f>
        <v>0</v>
      </c>
      <c r="C85">
        <f>C84*(1+$CD$2)*(1+每日報酬率!C85)</f>
        <v>0.1330398747349647</v>
      </c>
      <c r="D85">
        <f>D84*(1+$CD$2)*(1+每日報酬率!D85)</f>
        <v>1.1936822405020937</v>
      </c>
      <c r="E85">
        <f>E84*(1+$CD$2)*(1+每日報酬率!E85)</f>
        <v>0.10035723272327442</v>
      </c>
      <c r="F85">
        <f t="shared" si="2"/>
        <v>1.4270793479603328</v>
      </c>
      <c r="K85" s="3">
        <f>IFERROR(G86/每日收盤價!B85,0)</f>
        <v>0</v>
      </c>
      <c r="L85" s="3">
        <f>IFERROR(H86/每日收盤價!C85,0)</f>
        <v>0</v>
      </c>
      <c r="M85" s="3">
        <f>IFERROR(I86/每日收盤價!D85,0)</f>
        <v>0</v>
      </c>
      <c r="N85" s="3">
        <f>IFERROR(J86/每日收盤價!E85,0)</f>
        <v>0</v>
      </c>
      <c r="O85">
        <f t="shared" si="3"/>
        <v>0</v>
      </c>
    </row>
    <row r="86" spans="1:15">
      <c r="A86" s="9" t="s">
        <v>89</v>
      </c>
      <c r="B86">
        <f>B85*(1+$CD$2)*(1+每日報酬率!B86)</f>
        <v>0</v>
      </c>
      <c r="C86">
        <f>C85*(1+$CD$2)*(1+每日報酬率!C86)</f>
        <v>0.13187964326925281</v>
      </c>
      <c r="D86">
        <f>D85*(1+$CD$2)*(1+每日報酬率!D86)</f>
        <v>1.2139386664015233</v>
      </c>
      <c r="E86">
        <f>E85*(1+$CD$2)*(1+每日報酬率!E86)</f>
        <v>0.10035723272327442</v>
      </c>
      <c r="F86">
        <f t="shared" si="2"/>
        <v>1.4461755423940506</v>
      </c>
      <c r="K86" s="3">
        <f>IFERROR(G87/每日收盤價!B86,0)</f>
        <v>0</v>
      </c>
      <c r="L86" s="3">
        <f>IFERROR(H87/每日收盤價!C86,0)</f>
        <v>0</v>
      </c>
      <c r="M86" s="3">
        <f>IFERROR(I87/每日收盤價!D86,0)</f>
        <v>0</v>
      </c>
      <c r="N86" s="3">
        <f>IFERROR(J87/每日收盤價!E86,0)</f>
        <v>0</v>
      </c>
      <c r="O86">
        <f t="shared" si="3"/>
        <v>0</v>
      </c>
    </row>
    <row r="87" spans="1:15">
      <c r="A87" s="9" t="s">
        <v>90</v>
      </c>
      <c r="B87">
        <f>B86*(1+$CD$2)*(1+每日報酬率!B87)</f>
        <v>0</v>
      </c>
      <c r="C87">
        <f>C86*(1+$CD$2)*(1+每日報酬率!C87)</f>
        <v>0.13265313091306075</v>
      </c>
      <c r="D87">
        <f>D86*(1+$CD$2)*(1+每日報酬率!D87)</f>
        <v>1.2168324415300131</v>
      </c>
      <c r="E87">
        <f>E86*(1+$CD$2)*(1+每日報酬率!E87)</f>
        <v>0.10339836098761607</v>
      </c>
      <c r="F87">
        <f t="shared" si="2"/>
        <v>1.45288393343069</v>
      </c>
      <c r="K87" s="3">
        <f>IFERROR(G88/每日收盤價!B87,0)</f>
        <v>0</v>
      </c>
      <c r="L87" s="3">
        <f>IFERROR(H88/每日收盤價!C87,0)</f>
        <v>0</v>
      </c>
      <c r="M87" s="3">
        <f>IFERROR(I88/每日收盤價!D87,0)</f>
        <v>0</v>
      </c>
      <c r="N87" s="3">
        <f>IFERROR(J88/每日收盤價!E87,0)</f>
        <v>0</v>
      </c>
      <c r="O87">
        <f t="shared" si="3"/>
        <v>0</v>
      </c>
    </row>
    <row r="88" spans="1:15">
      <c r="A88" s="9" t="s">
        <v>91</v>
      </c>
      <c r="B88">
        <f>B87*(1+$CD$2)*(1+每日報酬率!B88)</f>
        <v>0</v>
      </c>
      <c r="C88">
        <f>C87*(1+$CD$2)*(1+每日報酬率!C88)</f>
        <v>0.13149289944734885</v>
      </c>
      <c r="D88">
        <f>D87*(1+$CD$2)*(1+每日報酬率!D88)</f>
        <v>1.2081511161445433</v>
      </c>
      <c r="E88">
        <f>E87*(1+$CD$2)*(1+每日報酬率!E88)</f>
        <v>0.10122612651308631</v>
      </c>
      <c r="F88">
        <f t="shared" si="2"/>
        <v>1.4408701421049783</v>
      </c>
      <c r="K88" s="3">
        <f>IFERROR(G89/每日收盤價!B88,0)</f>
        <v>0</v>
      </c>
      <c r="L88" s="3">
        <f>IFERROR(H89/每日收盤價!C88,0)</f>
        <v>0</v>
      </c>
      <c r="M88" s="3">
        <f>IFERROR(I89/每日收盤價!D88,0)</f>
        <v>0</v>
      </c>
      <c r="N88" s="3">
        <f>IFERROR(J89/每日收盤價!E88,0)</f>
        <v>0</v>
      </c>
      <c r="O88">
        <f t="shared" si="3"/>
        <v>0</v>
      </c>
    </row>
    <row r="89" spans="1:15">
      <c r="A89" s="9" t="s">
        <v>92</v>
      </c>
      <c r="B89">
        <f>B88*(1+$CD$2)*(1+每日報酬率!B89)</f>
        <v>0</v>
      </c>
      <c r="C89">
        <f>C88*(1+$CD$2)*(1+每日報酬率!C89)</f>
        <v>0.12955918033782901</v>
      </c>
      <c r="D89">
        <f>D88*(1+$CD$2)*(1+每日報酬率!D89)</f>
        <v>1.2081511161445433</v>
      </c>
      <c r="E89">
        <f>E88*(1+$CD$2)*(1+每日報酬率!E89)</f>
        <v>0.10339836098761605</v>
      </c>
      <c r="F89">
        <f t="shared" si="2"/>
        <v>1.4411086574699885</v>
      </c>
      <c r="K89" s="3">
        <f>IFERROR(G90/每日收盤價!B89,0)</f>
        <v>0</v>
      </c>
      <c r="L89" s="3">
        <f>IFERROR(H90/每日收盤價!C89,0)</f>
        <v>0</v>
      </c>
      <c r="M89" s="3">
        <f>IFERROR(I90/每日收盤價!D89,0)</f>
        <v>0</v>
      </c>
      <c r="N89" s="3">
        <f>IFERROR(J90/每日收盤價!E89,0)</f>
        <v>0</v>
      </c>
      <c r="O89">
        <f t="shared" si="3"/>
        <v>0</v>
      </c>
    </row>
    <row r="90" spans="1:15">
      <c r="A90" s="9" t="s">
        <v>93</v>
      </c>
      <c r="B90">
        <f>B89*(1+$CD$2)*(1+每日報酬率!B90)</f>
        <v>0</v>
      </c>
      <c r="C90">
        <f>C89*(1+$CD$2)*(1+每日報酬率!C90)</f>
        <v>0.12839894887211711</v>
      </c>
      <c r="D90">
        <f>D89*(1+$CD$2)*(1+每日報酬率!D90)</f>
        <v>1.2168324415300131</v>
      </c>
      <c r="E90">
        <f>E89*(1+$CD$2)*(1+每日報酬率!E90)</f>
        <v>0.10209502030289822</v>
      </c>
      <c r="F90">
        <f t="shared" si="2"/>
        <v>1.4473264107050285</v>
      </c>
      <c r="K90" s="3">
        <f>IFERROR(G91/每日收盤價!B90,0)</f>
        <v>0</v>
      </c>
      <c r="L90" s="3">
        <f>IFERROR(H91/每日收盤價!C90,0)</f>
        <v>0</v>
      </c>
      <c r="M90" s="3">
        <f>IFERROR(I91/每日收盤價!D90,0)</f>
        <v>0</v>
      </c>
      <c r="N90" s="3">
        <f>IFERROR(J91/每日收盤價!E90,0)</f>
        <v>0</v>
      </c>
      <c r="O90">
        <f t="shared" si="3"/>
        <v>0</v>
      </c>
    </row>
    <row r="91" spans="1:15">
      <c r="A91" s="9" t="s">
        <v>94</v>
      </c>
      <c r="B91">
        <f>B90*(1+$CD$2)*(1+每日報酬率!B91)</f>
        <v>0</v>
      </c>
      <c r="C91">
        <f>C90*(1+$CD$2)*(1+每日報酬率!C91)</f>
        <v>0.13071941180354091</v>
      </c>
      <c r="D91">
        <f>D90*(1+$CD$2)*(1+每日報酬率!D91)</f>
        <v>1.2501108555076472</v>
      </c>
      <c r="E91">
        <f>E90*(1+$CD$2)*(1+每日報酬率!E91)</f>
        <v>0.10296391409271012</v>
      </c>
      <c r="F91">
        <f t="shared" si="2"/>
        <v>1.4837941814038982</v>
      </c>
      <c r="K91" s="3">
        <f>IFERROR(G92/每日收盤價!B91,0)</f>
        <v>0</v>
      </c>
      <c r="L91" s="3">
        <f>IFERROR(H92/每日收盤價!C91,0)</f>
        <v>0</v>
      </c>
      <c r="M91" s="3">
        <f>IFERROR(I92/每日收盤價!D91,0)</f>
        <v>0</v>
      </c>
      <c r="N91" s="3">
        <f>IFERROR(J92/每日收盤價!E91,0)</f>
        <v>0</v>
      </c>
      <c r="O91">
        <f t="shared" si="3"/>
        <v>0</v>
      </c>
    </row>
    <row r="92" spans="1:15">
      <c r="A92" s="9" t="s">
        <v>95</v>
      </c>
      <c r="B92">
        <f>B91*(1+$CD$2)*(1+每日報酬率!B92)</f>
        <v>0</v>
      </c>
      <c r="C92">
        <f>C91*(1+$CD$2)*(1+每日報酬率!C92)</f>
        <v>0.13381336237877264</v>
      </c>
      <c r="D92">
        <f>D91*(1+$CD$2)*(1+每日報酬率!D92)</f>
        <v>1.2660266187143416</v>
      </c>
      <c r="E92">
        <f>E91*(1+$CD$2)*(1+每日報酬率!E92)</f>
        <v>0.10470170167233392</v>
      </c>
      <c r="F92">
        <f t="shared" si="2"/>
        <v>1.5045416827654483</v>
      </c>
      <c r="K92" s="3">
        <f>IFERROR(G93/每日收盤價!B92,0)</f>
        <v>0</v>
      </c>
      <c r="L92" s="3">
        <f>IFERROR(H93/每日收盤價!C92,0)</f>
        <v>0</v>
      </c>
      <c r="M92" s="3">
        <f>IFERROR(I93/每日收盤價!D92,0)</f>
        <v>0</v>
      </c>
      <c r="N92" s="3">
        <f>IFERROR(J93/每日收盤價!E92,0)</f>
        <v>0</v>
      </c>
      <c r="O92">
        <f t="shared" si="3"/>
        <v>0</v>
      </c>
    </row>
    <row r="93" spans="1:15">
      <c r="A93" s="9" t="s">
        <v>96</v>
      </c>
      <c r="B93">
        <f>B92*(1+$CD$2)*(1+每日報酬率!B93)</f>
        <v>0</v>
      </c>
      <c r="C93">
        <f>C92*(1+$CD$2)*(1+每日報酬率!C93)</f>
        <v>0.13613382531019644</v>
      </c>
      <c r="D93">
        <f>D92*(1+$CD$2)*(1+每日報酬率!D93)</f>
        <v>1.2544515182003819</v>
      </c>
      <c r="E93">
        <f>E92*(1+$CD$2)*(1+每日報酬率!E93)</f>
        <v>0.10383280788252203</v>
      </c>
      <c r="F93">
        <f t="shared" si="2"/>
        <v>1.4944181513931003</v>
      </c>
      <c r="K93" s="3">
        <f>IFERROR(G94/每日收盤價!B93,0)</f>
        <v>0</v>
      </c>
      <c r="L93" s="3">
        <f>IFERROR(H94/每日收盤價!C93,0)</f>
        <v>0</v>
      </c>
      <c r="M93" s="3">
        <f>IFERROR(I94/每日收盤價!D93,0)</f>
        <v>0</v>
      </c>
      <c r="N93" s="3">
        <f>IFERROR(J94/每日收盤價!E93,0)</f>
        <v>0</v>
      </c>
      <c r="O93">
        <f t="shared" si="3"/>
        <v>0</v>
      </c>
    </row>
    <row r="94" spans="1:15">
      <c r="A94" s="9" t="s">
        <v>97</v>
      </c>
      <c r="B94">
        <f>B93*(1+$CD$2)*(1+每日報酬率!B94)</f>
        <v>0</v>
      </c>
      <c r="C94">
        <f>C93*(1+$CD$2)*(1+每日報酬率!C94)</f>
        <v>0.14309521410446782</v>
      </c>
      <c r="D94">
        <f>D93*(1+$CD$2)*(1+每日報酬率!D94)</f>
        <v>1.257345293328872</v>
      </c>
      <c r="E94">
        <f>E93*(1+$CD$2)*(1+每日報酬率!E94)</f>
        <v>0.11165285199082914</v>
      </c>
      <c r="F94">
        <f t="shared" si="2"/>
        <v>1.512093359424169</v>
      </c>
      <c r="K94" s="3">
        <f>IFERROR(G95/每日收盤價!B94,0)</f>
        <v>0</v>
      </c>
      <c r="L94" s="3">
        <f>IFERROR(H95/每日收盤價!C94,0)</f>
        <v>0</v>
      </c>
      <c r="M94" s="3">
        <f>IFERROR(I95/每日收盤價!D94,0)</f>
        <v>0</v>
      </c>
      <c r="N94" s="3">
        <f>IFERROR(J95/每日收盤價!E94,0)</f>
        <v>0</v>
      </c>
      <c r="O94">
        <f t="shared" si="3"/>
        <v>0</v>
      </c>
    </row>
    <row r="95" spans="1:15">
      <c r="A95" s="9" t="s">
        <v>98</v>
      </c>
      <c r="B95">
        <f>B94*(1+$CD$2)*(1+每日報酬率!B95)</f>
        <v>0</v>
      </c>
      <c r="C95">
        <f>C94*(1+$CD$2)*(1+每日報酬率!C95)</f>
        <v>0.14348195792637178</v>
      </c>
      <c r="D95">
        <f>D94*(1+$CD$2)*(1+每日報酬率!D95)</f>
        <v>1.2515577430718923</v>
      </c>
      <c r="E95">
        <f>E94*(1+$CD$2)*(1+每日報酬率!E95)</f>
        <v>0.11382508646535888</v>
      </c>
      <c r="F95">
        <f t="shared" si="2"/>
        <v>1.508864787463623</v>
      </c>
      <c r="K95" s="3">
        <f>IFERROR(G96/每日收盤價!B95,0)</f>
        <v>0</v>
      </c>
      <c r="L95" s="3">
        <f>IFERROR(H96/每日收盤價!C95,0)</f>
        <v>0</v>
      </c>
      <c r="M95" s="3">
        <f>IFERROR(I96/每日收盤價!D95,0)</f>
        <v>0</v>
      </c>
      <c r="N95" s="3">
        <f>IFERROR(J96/每日收盤價!E95,0)</f>
        <v>0</v>
      </c>
      <c r="O95">
        <f t="shared" si="3"/>
        <v>0</v>
      </c>
    </row>
    <row r="96" spans="1:15">
      <c r="A96" s="9" t="s">
        <v>99</v>
      </c>
      <c r="B96">
        <f>B95*(1+$CD$2)*(1+每日報酬率!B96)</f>
        <v>0</v>
      </c>
      <c r="C96">
        <f>C95*(1+$CD$2)*(1+每日報酬率!C96)</f>
        <v>0.1396145197073321</v>
      </c>
      <c r="D96">
        <f>D95*(1+$CD$2)*(1+每日報酬率!D96)</f>
        <v>1.2399826425579326</v>
      </c>
      <c r="E96">
        <f>E95*(1+$CD$2)*(1+每日報酬率!E96)</f>
        <v>0.11208729888573508</v>
      </c>
      <c r="F96">
        <f t="shared" si="2"/>
        <v>1.4916844611509998</v>
      </c>
      <c r="K96" s="3">
        <f>IFERROR(G97/每日收盤價!B96,0)</f>
        <v>0</v>
      </c>
      <c r="L96" s="3">
        <f>IFERROR(H97/每日收盤價!C96,0)</f>
        <v>0</v>
      </c>
      <c r="M96" s="3">
        <f>IFERROR(I97/每日收盤價!D96,0)</f>
        <v>0</v>
      </c>
      <c r="N96" s="3">
        <f>IFERROR(J97/每日收盤價!E96,0)</f>
        <v>0</v>
      </c>
      <c r="O96">
        <f t="shared" si="3"/>
        <v>0</v>
      </c>
    </row>
    <row r="97" spans="1:15">
      <c r="A97" s="9" t="s">
        <v>100</v>
      </c>
      <c r="B97">
        <f>B96*(1+$CD$2)*(1+每日報酬率!B97)</f>
        <v>0</v>
      </c>
      <c r="C97">
        <f>C96*(1+$CD$2)*(1+每日報酬率!C97)</f>
        <v>0.13652056913210037</v>
      </c>
      <c r="D97">
        <f>D96*(1+$CD$2)*(1+每日報酬率!D97)</f>
        <v>1.2124917788372782</v>
      </c>
      <c r="E97">
        <f>E96*(1+$CD$2)*(1+每日報酬率!E97)</f>
        <v>0.11208729888573508</v>
      </c>
      <c r="F97">
        <f t="shared" si="2"/>
        <v>1.4610996468551136</v>
      </c>
      <c r="K97" s="3">
        <f>IFERROR(G98/每日收盤價!B97,0)</f>
        <v>0</v>
      </c>
      <c r="L97" s="3">
        <f>IFERROR(H98/每日收盤價!C97,0)</f>
        <v>0</v>
      </c>
      <c r="M97" s="3">
        <f>IFERROR(I98/每日收盤價!D97,0)</f>
        <v>0</v>
      </c>
      <c r="N97" s="3">
        <f>IFERROR(J98/每日收盤價!E97,0)</f>
        <v>0</v>
      </c>
      <c r="O97">
        <f t="shared" si="3"/>
        <v>0</v>
      </c>
    </row>
    <row r="98" spans="1:15">
      <c r="A98" s="9" t="s">
        <v>101</v>
      </c>
      <c r="B98">
        <f>B97*(1+$CD$2)*(1+每日報酬率!B98)</f>
        <v>0</v>
      </c>
      <c r="C98">
        <f>C97*(1+$CD$2)*(1+每日報酬率!C98)</f>
        <v>0.13303987473496467</v>
      </c>
      <c r="D98">
        <f>D97*(1+$CD$2)*(1+每日報酬率!D98)</f>
        <v>1.1878946902451137</v>
      </c>
      <c r="E98">
        <f>E97*(1+$CD$2)*(1+每日報酬率!E98)</f>
        <v>0.10730838304176964</v>
      </c>
      <c r="F98">
        <f t="shared" si="2"/>
        <v>1.4282429480218479</v>
      </c>
      <c r="K98" s="3">
        <f>IFERROR(G99/每日收盤價!B98,0)</f>
        <v>0</v>
      </c>
      <c r="L98" s="3">
        <f>IFERROR(H99/每日收盤價!C98,0)</f>
        <v>0</v>
      </c>
      <c r="M98" s="3">
        <f>IFERROR(I99/每日收盤價!D98,0)</f>
        <v>0</v>
      </c>
      <c r="N98" s="3">
        <f>IFERROR(J99/每日收盤價!E98,0)</f>
        <v>0</v>
      </c>
      <c r="O98">
        <f t="shared" si="3"/>
        <v>0</v>
      </c>
    </row>
    <row r="99" spans="1:15">
      <c r="A99" s="9" t="s">
        <v>102</v>
      </c>
      <c r="B99">
        <f>B98*(1+$CD$2)*(1+每日報酬率!B99)</f>
        <v>0</v>
      </c>
      <c r="C99">
        <f>C98*(1+$CD$2)*(1+每日報酬率!C99)</f>
        <v>0.13652056913210039</v>
      </c>
      <c r="D99">
        <f>D98*(1+$CD$2)*(1+每日報酬率!D99)</f>
        <v>1.2240668793512379</v>
      </c>
      <c r="E99">
        <f>E98*(1+$CD$2)*(1+每日報酬率!E99)</f>
        <v>0.11034951130611127</v>
      </c>
      <c r="F99">
        <f t="shared" si="2"/>
        <v>1.4709369597894495</v>
      </c>
      <c r="K99" s="3">
        <f>IFERROR(G100/每日收盤價!B99,0)</f>
        <v>0</v>
      </c>
      <c r="L99" s="3">
        <f>IFERROR(H100/每日收盤價!C99,0)</f>
        <v>0</v>
      </c>
      <c r="M99" s="3">
        <f>IFERROR(I100/每日收盤價!D99,0)</f>
        <v>0</v>
      </c>
      <c r="N99" s="3">
        <f>IFERROR(J100/每日收盤價!E99,0)</f>
        <v>0</v>
      </c>
      <c r="O99">
        <f t="shared" si="3"/>
        <v>0</v>
      </c>
    </row>
    <row r="100" spans="1:15">
      <c r="A100" s="9" t="s">
        <v>103</v>
      </c>
      <c r="B100">
        <f>B99*(1+$CD$2)*(1+每日報酬率!B100)</f>
        <v>0</v>
      </c>
      <c r="C100">
        <f>C99*(1+$CD$2)*(1+每日報酬率!C100)</f>
        <v>0.13226638709115676</v>
      </c>
      <c r="D100">
        <f>D99*(1+$CD$2)*(1+每日報酬率!D100)</f>
        <v>1.2139386664015233</v>
      </c>
      <c r="E100">
        <f>E99*(1+$CD$2)*(1+每日報酬率!E100)</f>
        <v>0.10774282993667558</v>
      </c>
      <c r="F100">
        <f t="shared" si="2"/>
        <v>1.4539478834293555</v>
      </c>
      <c r="K100" s="3">
        <f>IFERROR(G101/每日收盤價!B100,0)</f>
        <v>0</v>
      </c>
      <c r="L100" s="3">
        <f>IFERROR(H101/每日收盤價!C100,0)</f>
        <v>0</v>
      </c>
      <c r="M100" s="3">
        <f>IFERROR(I101/每日收盤價!D100,0)</f>
        <v>0</v>
      </c>
      <c r="N100" s="3">
        <f>IFERROR(J101/每日收盤價!E100,0)</f>
        <v>0</v>
      </c>
      <c r="O100">
        <f t="shared" si="3"/>
        <v>0</v>
      </c>
    </row>
    <row r="101" spans="1:15">
      <c r="A101" s="9" t="s">
        <v>104</v>
      </c>
      <c r="B101">
        <f>B100*(1+$CD$2)*(1+每日報酬率!B101)</f>
        <v>0</v>
      </c>
      <c r="C101">
        <f>C100*(1+$CD$2)*(1+每日報酬率!C101)</f>
        <v>0.13574708148829248</v>
      </c>
      <c r="D101">
        <f>D100*(1+$CD$2)*(1+每日報酬率!D101)</f>
        <v>1.2356419798651979</v>
      </c>
      <c r="E101">
        <f>E100*(1+$CD$2)*(1+每日報酬率!E101)</f>
        <v>0.10687393614686368</v>
      </c>
      <c r="F101">
        <f t="shared" si="2"/>
        <v>1.4782629975003538</v>
      </c>
      <c r="K101" s="3">
        <f>IFERROR(G102/每日收盤價!B101,0)</f>
        <v>0</v>
      </c>
      <c r="L101" s="3">
        <f>IFERROR(H102/每日收盤價!C101,0)</f>
        <v>0</v>
      </c>
      <c r="M101" s="3">
        <f>IFERROR(I102/每日收盤價!D101,0)</f>
        <v>0</v>
      </c>
      <c r="N101" s="3">
        <f>IFERROR(J102/每日收盤價!E101,0)</f>
        <v>0</v>
      </c>
      <c r="O101">
        <f t="shared" si="3"/>
        <v>0</v>
      </c>
    </row>
    <row r="102" spans="1:15">
      <c r="A102" s="9" t="s">
        <v>105</v>
      </c>
      <c r="B102">
        <f>B101*(1+$CD$2)*(1+每日報酬率!B102)</f>
        <v>0</v>
      </c>
      <c r="C102">
        <f>C101*(1+$CD$2)*(1+每日報酬率!C102)</f>
        <v>0.13729405677590836</v>
      </c>
      <c r="D102">
        <f>D101*(1+$CD$2)*(1+每日報酬率!D102)</f>
        <v>1.2935174824349964</v>
      </c>
      <c r="E102">
        <f>E101*(1+$CD$2)*(1+每日報酬率!E102)</f>
        <v>0.11208729888573508</v>
      </c>
      <c r="F102">
        <f t="shared" si="2"/>
        <v>1.54289883809664</v>
      </c>
      <c r="K102" s="3">
        <f>IFERROR(G103/每日收盤價!B102,0)</f>
        <v>0</v>
      </c>
      <c r="L102" s="3">
        <f>IFERROR(H103/每日收盤價!C102,0)</f>
        <v>0</v>
      </c>
      <c r="M102" s="3">
        <f>IFERROR(I103/每日收盤價!D102,0)</f>
        <v>0</v>
      </c>
      <c r="N102" s="3">
        <f>IFERROR(J103/每日收盤價!E102,0)</f>
        <v>0</v>
      </c>
      <c r="O102">
        <f t="shared" si="3"/>
        <v>0</v>
      </c>
    </row>
    <row r="103" spans="1:15">
      <c r="A103" s="9" t="s">
        <v>106</v>
      </c>
      <c r="B103">
        <f>B102*(1+$CD$2)*(1+每日報酬率!B103)</f>
        <v>0</v>
      </c>
      <c r="C103">
        <f>C102*(1+$CD$2)*(1+每日報酬率!C103)</f>
        <v>0.13729405677590836</v>
      </c>
      <c r="D103">
        <f>D102*(1+$CD$2)*(1+每日報酬率!D103)</f>
        <v>1.271814168971322</v>
      </c>
      <c r="E103">
        <f>E102*(1+$CD$2)*(1+每日報酬率!E103)</f>
        <v>0.11078395820101723</v>
      </c>
      <c r="F103">
        <f t="shared" si="2"/>
        <v>1.5198921839482478</v>
      </c>
      <c r="K103" s="3">
        <f>IFERROR(G104/每日收盤價!B103,0)</f>
        <v>0</v>
      </c>
      <c r="L103" s="3">
        <f>IFERROR(H104/每日收盤價!C103,0)</f>
        <v>0</v>
      </c>
      <c r="M103" s="3">
        <f>IFERROR(I104/每日收盤價!D103,0)</f>
        <v>0</v>
      </c>
      <c r="N103" s="3">
        <f>IFERROR(J104/每日收盤價!E103,0)</f>
        <v>0</v>
      </c>
      <c r="O103">
        <f t="shared" si="3"/>
        <v>0</v>
      </c>
    </row>
    <row r="104" spans="1:15">
      <c r="A104" s="9" t="s">
        <v>107</v>
      </c>
      <c r="B104">
        <f>B103*(1+$CD$2)*(1+每日報酬率!B104)</f>
        <v>0</v>
      </c>
      <c r="C104">
        <f>C103*(1+$CD$2)*(1+每日報酬率!C104)</f>
        <v>0.13961451970733216</v>
      </c>
      <c r="D104">
        <f>D103*(1+$CD$2)*(1+每日報酬率!D104)</f>
        <v>1.2776017192283018</v>
      </c>
      <c r="E104">
        <f>E103*(1+$CD$2)*(1+每日報酬率!E104)</f>
        <v>0.11034951130611129</v>
      </c>
      <c r="F104">
        <f t="shared" si="2"/>
        <v>1.5275657502417452</v>
      </c>
      <c r="K104" s="3">
        <f>IFERROR(G105/每日收盤價!B104,0)</f>
        <v>0</v>
      </c>
      <c r="L104" s="3">
        <f>IFERROR(H105/每日收盤價!C104,0)</f>
        <v>0</v>
      </c>
      <c r="M104" s="3">
        <f>IFERROR(I105/每日收盤價!D104,0)</f>
        <v>0</v>
      </c>
      <c r="N104" s="3">
        <f>IFERROR(J105/每日收盤價!E104,0)</f>
        <v>0</v>
      </c>
      <c r="O104">
        <f t="shared" si="3"/>
        <v>0</v>
      </c>
    </row>
    <row r="105" spans="1:15">
      <c r="A105" s="9" t="s">
        <v>108</v>
      </c>
      <c r="B105">
        <f>B104*(1+$CD$2)*(1+每日報酬率!B105)</f>
        <v>0</v>
      </c>
      <c r="C105">
        <f>C104*(1+$CD$2)*(1+每日報酬率!C105)</f>
        <v>0.14502893321398772</v>
      </c>
      <c r="D105">
        <f>D104*(1+$CD$2)*(1+每日報酬率!D105)</f>
        <v>1.315220795898671</v>
      </c>
      <c r="E105">
        <f>E104*(1+$CD$2)*(1+每日報酬率!E105)</f>
        <v>0.11295619267554698</v>
      </c>
      <c r="F105">
        <f t="shared" si="2"/>
        <v>1.5732059217882057</v>
      </c>
      <c r="K105" s="3">
        <f>IFERROR(G106/每日收盤價!B105,0)</f>
        <v>0</v>
      </c>
      <c r="L105" s="3">
        <f>IFERROR(H106/每日收盤價!C105,0)</f>
        <v>0</v>
      </c>
      <c r="M105" s="3">
        <f>IFERROR(I106/每日收盤價!D105,0)</f>
        <v>3.8501536743674367E-3</v>
      </c>
      <c r="N105" s="3">
        <f>IFERROR(J106/每日收盤價!E105,0)</f>
        <v>0</v>
      </c>
      <c r="O105">
        <f t="shared" si="3"/>
        <v>3.8501536743674367E-3</v>
      </c>
    </row>
    <row r="106" spans="1:15">
      <c r="A106" s="9" t="s">
        <v>109</v>
      </c>
      <c r="B106">
        <f>B105*(1+$CD$2)*(1+每日報酬率!B106)</f>
        <v>0</v>
      </c>
      <c r="C106">
        <f>C105*(1+$CD$2)*(1+每日報酬率!C106)</f>
        <v>0.14850962761112343</v>
      </c>
      <c r="D106">
        <f>D105*(1+$CD$2)*(1+每日報酬率!D106)</f>
        <v>1.3296896715411206</v>
      </c>
      <c r="E106">
        <f>E105*(1+$CD$2)*(1+每日報酬率!E106)</f>
        <v>0.12034178988894813</v>
      </c>
      <c r="F106">
        <f t="shared" si="2"/>
        <v>1.5985410890411922</v>
      </c>
      <c r="I106" s="3">
        <v>3.4997896900000001</v>
      </c>
      <c r="K106" s="3">
        <f>IFERROR(G107/每日收盤價!B106,0)</f>
        <v>0</v>
      </c>
      <c r="L106" s="3">
        <f>IFERROR(H107/每日收盤價!C106,0)</f>
        <v>0</v>
      </c>
      <c r="M106" s="3">
        <f>IFERROR(I107/每日收盤價!D106,0)</f>
        <v>0</v>
      </c>
      <c r="N106" s="3">
        <f>IFERROR(J107/每日收盤價!E106,0)</f>
        <v>0</v>
      </c>
      <c r="O106">
        <f t="shared" si="3"/>
        <v>0</v>
      </c>
    </row>
    <row r="107" spans="1:15">
      <c r="A107" s="9" t="s">
        <v>110</v>
      </c>
      <c r="B107">
        <f>B106*(1+$CD$2)*(1+每日報酬率!B107)</f>
        <v>0</v>
      </c>
      <c r="C107">
        <f>C106*(1+$CD$2)*(1+每日報酬率!C107)</f>
        <v>0.15315055347397105</v>
      </c>
      <c r="D107">
        <f>D106*(1+$CD$2)*(1+每日報酬率!D107)</f>
        <v>1.3340303342338553</v>
      </c>
      <c r="E107">
        <f>E106*(1+$CD$2)*(1+每日報酬率!E107)</f>
        <v>0.12121068367876003</v>
      </c>
      <c r="F107">
        <f t="shared" si="2"/>
        <v>1.6083915713865864</v>
      </c>
      <c r="K107" s="3">
        <f>IFERROR(G108/每日收盤價!B107,0)</f>
        <v>0</v>
      </c>
      <c r="L107" s="3">
        <f>IFERROR(H108/每日收盤價!C107,0)</f>
        <v>0</v>
      </c>
      <c r="M107" s="3">
        <f>IFERROR(I108/每日收盤價!D107,0)</f>
        <v>0</v>
      </c>
      <c r="N107" s="3">
        <f>IFERROR(J108/每日收盤價!E107,0)</f>
        <v>0</v>
      </c>
      <c r="O107">
        <f t="shared" si="3"/>
        <v>0</v>
      </c>
    </row>
    <row r="108" spans="1:15">
      <c r="A108" s="9" t="s">
        <v>111</v>
      </c>
      <c r="B108">
        <f>B107*(1+$CD$2)*(1+每日報酬率!B108)</f>
        <v>0</v>
      </c>
      <c r="C108">
        <f>C107*(1+$CD$2)*(1+每日報酬率!C108)</f>
        <v>0.15469752876158693</v>
      </c>
      <c r="D108">
        <f>D107*(1+$CD$2)*(1+每日報酬率!D108)</f>
        <v>1.3325834466696103</v>
      </c>
      <c r="E108">
        <f>E107*(1+$CD$2)*(1+每日報酬率!E108)</f>
        <v>0.11990734299404218</v>
      </c>
      <c r="F108">
        <f t="shared" si="2"/>
        <v>1.6071883184252396</v>
      </c>
      <c r="K108" s="3">
        <f>IFERROR(G109/每日收盤價!B108,0)</f>
        <v>0</v>
      </c>
      <c r="L108" s="3">
        <f>IFERROR(H109/每日收盤價!C108,0)</f>
        <v>0</v>
      </c>
      <c r="M108" s="3">
        <f>IFERROR(I109/每日收盤價!D108,0)</f>
        <v>0</v>
      </c>
      <c r="N108" s="3">
        <f>IFERROR(J109/每日收盤價!E108,0)</f>
        <v>0</v>
      </c>
      <c r="O108">
        <f t="shared" si="3"/>
        <v>0</v>
      </c>
    </row>
    <row r="109" spans="1:15">
      <c r="A109" s="9" t="s">
        <v>112</v>
      </c>
      <c r="B109">
        <f>B108*(1+$CD$2)*(1+每日報酬率!B109)</f>
        <v>0</v>
      </c>
      <c r="C109">
        <f>C108*(1+$CD$2)*(1+每日報酬率!C109)</f>
        <v>0.15353729729587504</v>
      </c>
      <c r="D109">
        <f>D108*(1+$CD$2)*(1+每日報酬率!D109)</f>
        <v>1.3644149730829995</v>
      </c>
      <c r="E109">
        <f>E108*(1+$CD$2)*(1+每日報酬率!E109)</f>
        <v>0.12207957746857194</v>
      </c>
      <c r="F109">
        <f t="shared" si="2"/>
        <v>1.6400318478474465</v>
      </c>
      <c r="G109" s="3">
        <v>6.43</v>
      </c>
      <c r="K109" s="3">
        <f>IFERROR(G110/每日收盤價!B109,0)</f>
        <v>0</v>
      </c>
      <c r="L109" s="3">
        <f>IFERROR(H110/每日收盤價!C109,0)</f>
        <v>0</v>
      </c>
      <c r="M109" s="3">
        <f>IFERROR(I110/每日收盤價!D109,0)</f>
        <v>0</v>
      </c>
      <c r="N109" s="3">
        <f>IFERROR(J110/每日收盤價!E109,0)</f>
        <v>0</v>
      </c>
      <c r="O109">
        <f t="shared" si="3"/>
        <v>0</v>
      </c>
    </row>
    <row r="110" spans="1:15">
      <c r="A110" s="9" t="s">
        <v>113</v>
      </c>
      <c r="B110">
        <f>B109*(1+$CD$2)*(1+每日報酬率!B110)</f>
        <v>0</v>
      </c>
      <c r="C110">
        <f>C109*(1+$CD$2)*(1+每日報酬率!C110)</f>
        <v>0.15701799169301076</v>
      </c>
      <c r="D110">
        <f>D109*(1+$CD$2)*(1+每日報酬率!D110)</f>
        <v>1.4193967005243082</v>
      </c>
      <c r="E110">
        <f>E109*(1+$CD$2)*(1+每日報酬率!E110)</f>
        <v>0.12903072778706715</v>
      </c>
      <c r="F110">
        <f t="shared" si="2"/>
        <v>1.705445420004386</v>
      </c>
      <c r="K110" s="3">
        <f>IFERROR(G111/每日收盤價!B110,0)</f>
        <v>0</v>
      </c>
      <c r="L110" s="3">
        <f>IFERROR(H111/每日收盤價!C110,0)</f>
        <v>0</v>
      </c>
      <c r="M110" s="3">
        <f>IFERROR(I111/每日收盤價!D110,0)</f>
        <v>0</v>
      </c>
      <c r="N110" s="3">
        <f>IFERROR(J111/每日收盤價!E110,0)</f>
        <v>0</v>
      </c>
      <c r="O110">
        <f t="shared" si="3"/>
        <v>0</v>
      </c>
    </row>
    <row r="111" spans="1:15">
      <c r="A111" s="9" t="s">
        <v>114</v>
      </c>
      <c r="B111">
        <f>B110*(1+$CD$2)*(1+每日報酬率!B111)</f>
        <v>0</v>
      </c>
      <c r="C111">
        <f>C110*(1+$CD$2)*(1+每日報酬率!C111)</f>
        <v>0.1682335625282258</v>
      </c>
      <c r="D111">
        <f>D110*(1+$CD$2)*(1+每日報酬率!D111)</f>
        <v>1.4193967005243082</v>
      </c>
      <c r="E111">
        <f>E110*(1+$CD$2)*(1+每日報酬率!E111)</f>
        <v>0.130334068471785</v>
      </c>
      <c r="F111">
        <f t="shared" si="2"/>
        <v>1.7179643315243192</v>
      </c>
      <c r="K111" s="3">
        <f>IFERROR(G112/每日收盤價!B111,0)</f>
        <v>0</v>
      </c>
      <c r="L111" s="3">
        <f>IFERROR(H112/每日收盤價!C111,0)</f>
        <v>0</v>
      </c>
      <c r="M111" s="3">
        <f>IFERROR(I112/每日收盤價!D111,0)</f>
        <v>0</v>
      </c>
      <c r="N111" s="3">
        <f>IFERROR(J112/每日收盤價!E111,0)</f>
        <v>0</v>
      </c>
      <c r="O111">
        <f t="shared" si="3"/>
        <v>0</v>
      </c>
    </row>
    <row r="112" spans="1:15">
      <c r="A112" s="9" t="s">
        <v>115</v>
      </c>
      <c r="B112">
        <f>B111*(1+$CD$2)*(1+每日報酬率!B112)</f>
        <v>0</v>
      </c>
      <c r="C112">
        <f>C111*(1+$CD$2)*(1+每日報酬率!C112)</f>
        <v>0.16397938048728217</v>
      </c>
      <c r="D112">
        <f>D111*(1+$CD$2)*(1+每日報酬率!D112)</f>
        <v>1.4034809373176136</v>
      </c>
      <c r="E112">
        <f>E111*(1+$CD$2)*(1+每日報酬率!E112)</f>
        <v>0.12946517468197311</v>
      </c>
      <c r="F112">
        <f t="shared" si="2"/>
        <v>1.6969254924868689</v>
      </c>
      <c r="K112" s="3">
        <f>IFERROR(G113/每日收盤價!B112,0)</f>
        <v>0</v>
      </c>
      <c r="L112" s="3">
        <f>IFERROR(H113/每日收盤價!C112,0)</f>
        <v>0</v>
      </c>
      <c r="M112" s="3">
        <f>IFERROR(I113/每日收盤價!D112,0)</f>
        <v>0</v>
      </c>
      <c r="N112" s="3">
        <f>IFERROR(J113/每日收盤價!E112,0)</f>
        <v>0</v>
      </c>
      <c r="O112">
        <f t="shared" si="3"/>
        <v>0</v>
      </c>
    </row>
    <row r="113" spans="1:15">
      <c r="A113" s="9" t="s">
        <v>116</v>
      </c>
      <c r="B113">
        <f>B112*(1+$CD$2)*(1+每日報酬率!B113)</f>
        <v>0</v>
      </c>
      <c r="C113">
        <f>C112*(1+$CD$2)*(1+每日報酬率!C113)</f>
        <v>0.15933845462443455</v>
      </c>
      <c r="D113">
        <f>D112*(1+$CD$2)*(1+每日報酬率!D113)</f>
        <v>1.3600743103902646</v>
      </c>
      <c r="E113">
        <f>E112*(1+$CD$2)*(1+每日報酬率!E113)</f>
        <v>0.1225140243634779</v>
      </c>
      <c r="F113">
        <f t="shared" si="2"/>
        <v>1.641926789378177</v>
      </c>
      <c r="K113" s="3">
        <f>IFERROR(G114/每日收盤價!B113,0)</f>
        <v>0</v>
      </c>
      <c r="L113" s="3">
        <f>IFERROR(H114/每日收盤價!C113,0)</f>
        <v>0</v>
      </c>
      <c r="M113" s="3">
        <f>IFERROR(I114/每日收盤價!D113,0)</f>
        <v>0</v>
      </c>
      <c r="N113" s="3">
        <f>IFERROR(J114/每日收盤價!E113,0)</f>
        <v>0</v>
      </c>
      <c r="O113">
        <f t="shared" si="3"/>
        <v>0</v>
      </c>
    </row>
    <row r="114" spans="1:15">
      <c r="A114" s="9" t="s">
        <v>117</v>
      </c>
      <c r="B114">
        <f>B113*(1+$CD$2)*(1+每日報酬率!B114)</f>
        <v>0</v>
      </c>
      <c r="C114">
        <f>C113*(1+$CD$2)*(1+每日報酬率!C114)</f>
        <v>0.16320589284347423</v>
      </c>
      <c r="D114">
        <f>D113*(1+$CD$2)*(1+每日報酬率!D114)</f>
        <v>1.3673087482114894</v>
      </c>
      <c r="E114">
        <f>E113*(1+$CD$2)*(1+每日報酬率!E114)</f>
        <v>0.12034178988894816</v>
      </c>
      <c r="F114">
        <f t="shared" si="2"/>
        <v>1.6508564309439118</v>
      </c>
      <c r="K114" s="3">
        <f>IFERROR(G115/每日收盤價!B114,0)</f>
        <v>0</v>
      </c>
      <c r="L114" s="3">
        <f>IFERROR(H115/每日收盤價!C114,0)</f>
        <v>0</v>
      </c>
      <c r="M114" s="3">
        <f>IFERROR(I115/每日收盤價!D114,0)</f>
        <v>0</v>
      </c>
      <c r="N114" s="3">
        <f>IFERROR(J115/每日收盤價!E114,0)</f>
        <v>0</v>
      </c>
      <c r="O114">
        <f t="shared" si="3"/>
        <v>0</v>
      </c>
    </row>
    <row r="115" spans="1:15">
      <c r="A115" s="9" t="s">
        <v>118</v>
      </c>
      <c r="B115">
        <f>B114*(1+$CD$2)*(1+每日報酬率!B115)</f>
        <v>0</v>
      </c>
      <c r="C115">
        <f>C114*(1+$CD$2)*(1+每日報酬率!C115)</f>
        <v>0.16243240519966629</v>
      </c>
      <c r="D115">
        <f>D114*(1+$CD$2)*(1+每日報酬率!D115)</f>
        <v>1.3890120616751638</v>
      </c>
      <c r="E115">
        <f>E114*(1+$CD$2)*(1+每日報酬率!E115)</f>
        <v>0.12207957746857195</v>
      </c>
      <c r="F115">
        <f t="shared" si="2"/>
        <v>1.6735240443434019</v>
      </c>
      <c r="K115" s="3">
        <f>IFERROR(G116/每日收盤價!B115,0)</f>
        <v>0</v>
      </c>
      <c r="L115" s="3">
        <f>IFERROR(H116/每日收盤價!C115,0)</f>
        <v>0</v>
      </c>
      <c r="M115" s="3">
        <f>IFERROR(I116/每日收盤價!D115,0)</f>
        <v>0</v>
      </c>
      <c r="N115" s="3">
        <f>IFERROR(J116/每日收盤價!E115,0)</f>
        <v>0</v>
      </c>
      <c r="O115">
        <f t="shared" si="3"/>
        <v>0</v>
      </c>
    </row>
    <row r="116" spans="1:15">
      <c r="A116" s="9" t="s">
        <v>119</v>
      </c>
      <c r="B116">
        <f>B115*(1+$CD$2)*(1+每日報酬率!B116)</f>
        <v>0</v>
      </c>
      <c r="C116">
        <f>C115*(1+$CD$2)*(1+每日報酬率!C116)</f>
        <v>0.16436612430918612</v>
      </c>
      <c r="D116">
        <f>D115*(1+$CD$2)*(1+每日報酬率!D116)</f>
        <v>1.3890120616751638</v>
      </c>
      <c r="E116">
        <f>E115*(1+$CD$2)*(1+每日報酬率!E116)</f>
        <v>0.12121068367876006</v>
      </c>
      <c r="F116">
        <f t="shared" si="2"/>
        <v>1.6745888696631099</v>
      </c>
      <c r="K116" s="3">
        <f>IFERROR(G117/每日收盤價!B116,0)</f>
        <v>0</v>
      </c>
      <c r="L116" s="3">
        <f>IFERROR(H117/每日收盤價!C116,0)</f>
        <v>0</v>
      </c>
      <c r="M116" s="3">
        <f>IFERROR(I117/每日收盤價!D116,0)</f>
        <v>0</v>
      </c>
      <c r="N116" s="3">
        <f>IFERROR(J117/每日收盤價!E116,0)</f>
        <v>0</v>
      </c>
      <c r="O116">
        <f t="shared" si="3"/>
        <v>0</v>
      </c>
    </row>
    <row r="117" spans="1:15">
      <c r="A117" s="9" t="s">
        <v>120</v>
      </c>
      <c r="B117">
        <f>B116*(1+$CD$2)*(1+每日報酬率!B117)</f>
        <v>0</v>
      </c>
      <c r="C117">
        <f>C116*(1+$CD$2)*(1+每日報酬率!C117)</f>
        <v>0.16552635577489802</v>
      </c>
      <c r="D117">
        <f>D116*(1+$CD$2)*(1+每日報酬率!D117)</f>
        <v>1.3976933870606336</v>
      </c>
      <c r="E117">
        <f>E116*(1+$CD$2)*(1+每日報酬率!E117)</f>
        <v>0.12164513057366601</v>
      </c>
      <c r="F117">
        <f t="shared" si="2"/>
        <v>1.6848648734091978</v>
      </c>
      <c r="K117" s="3">
        <f>IFERROR(G118/每日收盤價!B117,0)</f>
        <v>0</v>
      </c>
      <c r="L117" s="3">
        <f>IFERROR(H118/每日收盤價!C117,0)</f>
        <v>0</v>
      </c>
      <c r="M117" s="3">
        <f>IFERROR(I118/每日收盤價!D117,0)</f>
        <v>0</v>
      </c>
      <c r="N117" s="3">
        <f>IFERROR(J118/每日收盤價!E117,0)</f>
        <v>0</v>
      </c>
      <c r="O117">
        <f t="shared" si="3"/>
        <v>0</v>
      </c>
    </row>
    <row r="118" spans="1:15">
      <c r="A118" s="9" t="s">
        <v>121</v>
      </c>
      <c r="B118">
        <f>B117*(1+$CD$2)*(1+每日報酬率!B118)</f>
        <v>0</v>
      </c>
      <c r="C118">
        <f>C117*(1+$CD$2)*(1+每日報酬率!C118)</f>
        <v>0.16707333106251387</v>
      </c>
      <c r="D118">
        <f>D117*(1+$CD$2)*(1+每日報酬率!D118)</f>
        <v>1.4005871621891235</v>
      </c>
      <c r="E118">
        <f>E117*(1+$CD$2)*(1+每日報酬率!E118)</f>
        <v>0.12294847125838386</v>
      </c>
      <c r="F118">
        <f t="shared" si="2"/>
        <v>1.6906089645100213</v>
      </c>
      <c r="K118" s="3">
        <f>IFERROR(G119/每日收盤價!B118,0)</f>
        <v>0</v>
      </c>
      <c r="L118" s="3">
        <f>IFERROR(H119/每日收盤價!C118,0)</f>
        <v>2.5000000000000001E-2</v>
      </c>
      <c r="M118" s="3">
        <f>IFERROR(I119/每日收盤價!D118,0)</f>
        <v>0</v>
      </c>
      <c r="N118" s="3">
        <f>IFERROR(J119/每日收盤價!E118,0)</f>
        <v>0</v>
      </c>
      <c r="O118">
        <f t="shared" si="3"/>
        <v>2.5000000000000001E-2</v>
      </c>
    </row>
    <row r="119" spans="1:15">
      <c r="A119" s="9" t="s">
        <v>122</v>
      </c>
      <c r="B119">
        <f>B118*(1+$CD$2)*(1+每日報酬率!B119)</f>
        <v>0</v>
      </c>
      <c r="C119">
        <f>C118*(1+$CD$2)*(1+每日報酬率!C119)</f>
        <v>0.15817822315872263</v>
      </c>
      <c r="D119">
        <f>D118*(1+$CD$2)*(1+每日報酬率!D119)</f>
        <v>1.3890120616751638</v>
      </c>
      <c r="E119">
        <f>E118*(1+$CD$2)*(1+每日報酬率!E119)</f>
        <v>0.1225140243634779</v>
      </c>
      <c r="F119">
        <f t="shared" si="2"/>
        <v>1.6697043091973642</v>
      </c>
      <c r="H119" s="3">
        <v>5.4</v>
      </c>
      <c r="K119" s="3">
        <f>IFERROR(G120/每日收盤價!B119,0)</f>
        <v>0</v>
      </c>
      <c r="L119" s="3">
        <f>IFERROR(H120/每日收盤價!C119,0)</f>
        <v>0</v>
      </c>
      <c r="M119" s="3">
        <f>IFERROR(I120/每日收盤價!D119,0)</f>
        <v>0</v>
      </c>
      <c r="N119" s="3">
        <f>IFERROR(J120/每日收盤價!E119,0)</f>
        <v>0</v>
      </c>
      <c r="O119">
        <f t="shared" si="3"/>
        <v>0</v>
      </c>
    </row>
    <row r="120" spans="1:15">
      <c r="A120" s="9" t="s">
        <v>123</v>
      </c>
      <c r="B120">
        <f>B119*(1+$CD$2)*(1+每日報酬率!B120)</f>
        <v>0</v>
      </c>
      <c r="C120">
        <f>C119*(1+$CD$2)*(1+每日報酬率!C120)</f>
        <v>0.15701799169301073</v>
      </c>
      <c r="D120">
        <f>D119*(1+$CD$2)*(1+每日報酬率!D120)</f>
        <v>1.4165029253958181</v>
      </c>
      <c r="E120">
        <f>E119*(1+$CD$2)*(1+每日報酬率!E120)</f>
        <v>0.12207957746857195</v>
      </c>
      <c r="F120">
        <f t="shared" si="2"/>
        <v>1.6956004945574008</v>
      </c>
      <c r="K120" s="3">
        <f>IFERROR(G121/每日收盤價!B120,0)</f>
        <v>0</v>
      </c>
      <c r="L120" s="3">
        <f>IFERROR(H121/每日收盤價!C120,0)</f>
        <v>0</v>
      </c>
      <c r="M120" s="3">
        <f>IFERROR(I121/每日收盤價!D120,0)</f>
        <v>0</v>
      </c>
      <c r="N120" s="3">
        <f>IFERROR(J121/每日收盤價!E120,0)</f>
        <v>2.1640789138790036E-2</v>
      </c>
      <c r="O120">
        <f t="shared" si="3"/>
        <v>2.1640789138790036E-2</v>
      </c>
    </row>
    <row r="121" spans="1:15">
      <c r="A121" s="9" t="s">
        <v>124</v>
      </c>
      <c r="B121">
        <f>B120*(1+$CD$2)*(1+每日報酬率!B121)</f>
        <v>0</v>
      </c>
      <c r="C121">
        <f>C120*(1+$CD$2)*(1+每日報酬率!C121)</f>
        <v>0.16591309959680201</v>
      </c>
      <c r="D121">
        <f>D120*(1+$CD$2)*(1+每日報酬率!D121)</f>
        <v>1.4541220020661871</v>
      </c>
      <c r="E121">
        <f>E120*(1+$CD$2)*(1+每日報酬率!E121)</f>
        <v>0.11947289609913625</v>
      </c>
      <c r="F121">
        <f t="shared" si="2"/>
        <v>1.7395079977621255</v>
      </c>
      <c r="J121" s="3">
        <v>30.405308739999999</v>
      </c>
      <c r="K121" s="3">
        <f>IFERROR(G122/每日收盤價!B121,0)</f>
        <v>0</v>
      </c>
      <c r="L121" s="3">
        <f>IFERROR(H122/每日收盤價!C121,0)</f>
        <v>0</v>
      </c>
      <c r="M121" s="3">
        <f>IFERROR(I122/每日收盤價!D121,0)</f>
        <v>0</v>
      </c>
      <c r="N121" s="3">
        <f>IFERROR(J122/每日收盤價!E121,0)</f>
        <v>0</v>
      </c>
      <c r="O121">
        <f t="shared" si="3"/>
        <v>0</v>
      </c>
    </row>
    <row r="122" spans="1:15">
      <c r="A122" s="9" t="s">
        <v>125</v>
      </c>
      <c r="B122">
        <f>B121*(1+$CD$2)*(1+每日報酬率!B122)</f>
        <v>0</v>
      </c>
      <c r="C122">
        <f>C121*(1+$CD$2)*(1+每日報酬率!C122)</f>
        <v>0.16591309959680201</v>
      </c>
      <c r="D122">
        <f>D121*(1+$CD$2)*(1+每日報酬率!D122)</f>
        <v>1.4541220020661871</v>
      </c>
      <c r="E122">
        <f>E121*(1+$CD$2)*(1+每日報酬率!E122)</f>
        <v>0.11730066162460651</v>
      </c>
      <c r="F122">
        <f t="shared" si="2"/>
        <v>1.7373357632875956</v>
      </c>
      <c r="K122" s="3">
        <f>IFERROR(G123/每日收盤價!B122,0)</f>
        <v>0</v>
      </c>
      <c r="L122" s="3">
        <f>IFERROR(H123/每日收盤價!C122,0)</f>
        <v>0</v>
      </c>
      <c r="M122" s="3">
        <f>IFERROR(I123/每日收盤價!D122,0)</f>
        <v>0</v>
      </c>
      <c r="N122" s="3">
        <f>IFERROR(J123/每日收盤價!E122,0)</f>
        <v>0</v>
      </c>
      <c r="O122">
        <f t="shared" si="3"/>
        <v>0</v>
      </c>
    </row>
    <row r="123" spans="1:15">
      <c r="A123" s="9" t="s">
        <v>126</v>
      </c>
      <c r="B123">
        <f>B122*(1+$CD$2)*(1+每日報酬率!B123)</f>
        <v>0</v>
      </c>
      <c r="C123">
        <f>C122*(1+$CD$2)*(1+每日報酬率!C123)</f>
        <v>0.17519495132249721</v>
      </c>
      <c r="D123">
        <f>D122*(1+$CD$2)*(1+每日報酬率!D123)</f>
        <v>1.4975286289935361</v>
      </c>
      <c r="E123">
        <f>E122*(1+$CD$2)*(1+每日報酬率!E123)</f>
        <v>0.12338291815328981</v>
      </c>
      <c r="F123">
        <f t="shared" si="2"/>
        <v>1.7961064984693231</v>
      </c>
      <c r="K123" s="3">
        <f>IFERROR(G124/每日收盤價!B123,0)</f>
        <v>0</v>
      </c>
      <c r="L123" s="3">
        <f>IFERROR(H124/每日收盤價!C123,0)</f>
        <v>0</v>
      </c>
      <c r="M123" s="3">
        <f>IFERROR(I124/每日收盤價!D123,0)</f>
        <v>0</v>
      </c>
      <c r="N123" s="3">
        <f>IFERROR(J124/每日收盤價!E123,0)</f>
        <v>0</v>
      </c>
      <c r="O123">
        <f t="shared" si="3"/>
        <v>0</v>
      </c>
    </row>
    <row r="124" spans="1:15">
      <c r="A124" s="9" t="s">
        <v>127</v>
      </c>
      <c r="B124">
        <f>B123*(1+$CD$2)*(1+每日報酬率!B124)</f>
        <v>0</v>
      </c>
      <c r="C124">
        <f>C123*(1+$CD$2)*(1+每日報酬率!C124)</f>
        <v>0.17442146367868927</v>
      </c>
      <c r="D124">
        <f>D123*(1+$CD$2)*(1+每日報酬率!D124)</f>
        <v>1.5047630668147609</v>
      </c>
      <c r="E124">
        <f>E123*(1+$CD$2)*(1+每日報酬率!E124)</f>
        <v>0.1268584933125374</v>
      </c>
      <c r="F124">
        <f t="shared" si="2"/>
        <v>1.8060430238059877</v>
      </c>
      <c r="K124" s="3">
        <f>IFERROR(G125/每日收盤價!B124,0)</f>
        <v>0</v>
      </c>
      <c r="L124" s="3">
        <f>IFERROR(H125/每日收盤價!C124,0)</f>
        <v>0</v>
      </c>
      <c r="M124" s="3">
        <f>IFERROR(I125/每日收盤價!D124,0)</f>
        <v>0</v>
      </c>
      <c r="N124" s="3">
        <f>IFERROR(J125/每日收盤價!E124,0)</f>
        <v>0</v>
      </c>
      <c r="O124">
        <f t="shared" si="3"/>
        <v>0</v>
      </c>
    </row>
    <row r="125" spans="1:15">
      <c r="A125" s="9" t="s">
        <v>128</v>
      </c>
      <c r="B125">
        <f>B124*(1+$CD$2)*(1+每日報酬率!B125)</f>
        <v>0</v>
      </c>
      <c r="C125">
        <f>C124*(1+$CD$2)*(1+每日報酬率!C125)</f>
        <v>0.17287448839107339</v>
      </c>
      <c r="D125">
        <f>D124*(1+$CD$2)*(1+每日報酬率!D125)</f>
        <v>1.5119975046359857</v>
      </c>
      <c r="E125">
        <f>E124*(1+$CD$2)*(1+每日報酬率!E125)</f>
        <v>0.12468625883800766</v>
      </c>
      <c r="F125">
        <f t="shared" si="2"/>
        <v>1.8095582518650666</v>
      </c>
      <c r="K125" s="3">
        <f>IFERROR(G126/每日收盤價!B125,0)</f>
        <v>0</v>
      </c>
      <c r="L125" s="3">
        <f>IFERROR(H126/每日收盤價!C125,0)</f>
        <v>0</v>
      </c>
      <c r="M125" s="3">
        <f>IFERROR(I126/每日收盤價!D125,0)</f>
        <v>0</v>
      </c>
      <c r="N125" s="3">
        <f>IFERROR(J126/每日收盤價!E125,0)</f>
        <v>0</v>
      </c>
      <c r="O125">
        <f t="shared" si="3"/>
        <v>0</v>
      </c>
    </row>
    <row r="126" spans="1:15">
      <c r="A126" s="9" t="s">
        <v>129</v>
      </c>
      <c r="B126">
        <f>B125*(1+$CD$2)*(1+每日報酬率!B126)</f>
        <v>0</v>
      </c>
      <c r="C126">
        <f>C125*(1+$CD$2)*(1+每日報酬率!C126)</f>
        <v>0.17442146367868924</v>
      </c>
      <c r="D126">
        <f>D125*(1+$CD$2)*(1+每日報酬率!D126)</f>
        <v>1.5626385693845595</v>
      </c>
      <c r="E126">
        <f>E125*(1+$CD$2)*(1+每日報酬率!E126)</f>
        <v>0.12338291815328981</v>
      </c>
      <c r="F126">
        <f t="shared" si="2"/>
        <v>1.8604429512165384</v>
      </c>
      <c r="K126" s="3">
        <f>IFERROR(G127/每日收盤價!B126,0)</f>
        <v>0</v>
      </c>
      <c r="L126" s="3">
        <f>IFERROR(H127/每日收盤價!C126,0)</f>
        <v>0</v>
      </c>
      <c r="M126" s="3">
        <f>IFERROR(I127/每日收盤價!D126,0)</f>
        <v>0</v>
      </c>
      <c r="N126" s="3">
        <f>IFERROR(J127/每日收盤價!E126,0)</f>
        <v>0</v>
      </c>
      <c r="O126">
        <f t="shared" si="3"/>
        <v>0</v>
      </c>
    </row>
    <row r="127" spans="1:15">
      <c r="A127" s="9" t="s">
        <v>130</v>
      </c>
      <c r="B127">
        <f>B126*(1+$CD$2)*(1+每日報酬率!B127)</f>
        <v>0</v>
      </c>
      <c r="C127">
        <f>C126*(1+$CD$2)*(1+每日報酬率!C127)</f>
        <v>0.16707333106251387</v>
      </c>
      <c r="D127">
        <f>D126*(1+$CD$2)*(1+每日報酬率!D127)</f>
        <v>1.5047630668147611</v>
      </c>
      <c r="E127">
        <f>E126*(1+$CD$2)*(1+每日報酬率!E127)</f>
        <v>0.11816955541441841</v>
      </c>
      <c r="F127">
        <f t="shared" si="2"/>
        <v>1.7900059532916934</v>
      </c>
      <c r="K127" s="3">
        <f>IFERROR(G128/每日收盤價!B127,0)</f>
        <v>0</v>
      </c>
      <c r="L127" s="3">
        <f>IFERROR(H128/每日收盤價!C127,0)</f>
        <v>0</v>
      </c>
      <c r="M127" s="3">
        <f>IFERROR(I128/每日收盤價!D127,0)</f>
        <v>0</v>
      </c>
      <c r="N127" s="3">
        <f>IFERROR(J128/每日收盤價!E127,0)</f>
        <v>0</v>
      </c>
      <c r="O127">
        <f t="shared" si="3"/>
        <v>0</v>
      </c>
    </row>
    <row r="128" spans="1:15">
      <c r="A128" s="9" t="s">
        <v>131</v>
      </c>
      <c r="B128">
        <f>B127*(1+$CD$2)*(1+每日報酬率!B128)</f>
        <v>0</v>
      </c>
      <c r="C128">
        <f>C127*(1+$CD$2)*(1+每日報酬率!C128)</f>
        <v>0.16746007488441786</v>
      </c>
      <c r="D128">
        <f>D127*(1+$CD$2)*(1+每日報酬率!D128)</f>
        <v>1.5047630668147611</v>
      </c>
      <c r="E128">
        <f>E127*(1+$CD$2)*(1+每日報酬率!E128)</f>
        <v>0.11773510851951247</v>
      </c>
      <c r="F128">
        <f t="shared" si="2"/>
        <v>1.7899582502186915</v>
      </c>
      <c r="K128" s="3">
        <f>IFERROR(G129/每日收盤價!B128,0)</f>
        <v>0</v>
      </c>
      <c r="L128" s="3">
        <f>IFERROR(H129/每日收盤價!C128,0)</f>
        <v>0</v>
      </c>
      <c r="M128" s="3">
        <f>IFERROR(I129/每日收盤價!D128,0)</f>
        <v>0</v>
      </c>
      <c r="N128" s="3">
        <f>IFERROR(J129/每日收盤價!E128,0)</f>
        <v>0</v>
      </c>
      <c r="O128">
        <f t="shared" si="3"/>
        <v>0</v>
      </c>
    </row>
    <row r="129" spans="1:15">
      <c r="A129" s="9" t="s">
        <v>132</v>
      </c>
      <c r="B129">
        <f>B128*(1+$CD$2)*(1+每日報酬率!B129)</f>
        <v>0</v>
      </c>
      <c r="C129">
        <f>C128*(1+$CD$2)*(1+每日報酬率!C129)</f>
        <v>0.16475286813109008</v>
      </c>
      <c r="D129">
        <f>D128*(1+$CD$2)*(1+每日報酬率!D129)</f>
        <v>1.5264663802784355</v>
      </c>
      <c r="E129">
        <f>E128*(1+$CD$2)*(1+每日報酬率!E129)</f>
        <v>0.11686621472970056</v>
      </c>
      <c r="F129">
        <f t="shared" si="2"/>
        <v>1.8080854631392262</v>
      </c>
      <c r="K129" s="3">
        <f>IFERROR(G130/每日收盤價!B129,0)</f>
        <v>0</v>
      </c>
      <c r="L129" s="3">
        <f>IFERROR(H130/每日收盤價!C129,0)</f>
        <v>0</v>
      </c>
      <c r="M129" s="3">
        <f>IFERROR(I130/每日收盤價!D129,0)</f>
        <v>0</v>
      </c>
      <c r="N129" s="3">
        <f>IFERROR(J130/每日收盤價!E129,0)</f>
        <v>0</v>
      </c>
      <c r="O129">
        <f t="shared" si="3"/>
        <v>0</v>
      </c>
    </row>
    <row r="130" spans="1:15">
      <c r="A130" s="9" t="s">
        <v>133</v>
      </c>
      <c r="B130">
        <f>B129*(1+$CD$2)*(1+每日報酬率!B130)</f>
        <v>0</v>
      </c>
      <c r="C130">
        <f>C129*(1+$CD$2)*(1+每日報酬率!C130)</f>
        <v>0.16397938048728214</v>
      </c>
      <c r="D130">
        <f>D129*(1+$CD$2)*(1+每日報酬率!D130)</f>
        <v>1.4902941911723113</v>
      </c>
      <c r="E130">
        <f>E129*(1+$CD$2)*(1+每日報酬率!E130)</f>
        <v>0.11512842715007675</v>
      </c>
      <c r="F130">
        <f t="shared" si="2"/>
        <v>1.7694019988096703</v>
      </c>
      <c r="K130" s="3">
        <f>IFERROR(G131/每日收盤價!B130,0)</f>
        <v>0</v>
      </c>
      <c r="L130" s="3">
        <f>IFERROR(H131/每日收盤價!C130,0)</f>
        <v>0</v>
      </c>
      <c r="M130" s="3">
        <f>IFERROR(I131/每日收盤價!D130,0)</f>
        <v>0</v>
      </c>
      <c r="N130" s="3">
        <f>IFERROR(J131/每日收盤價!E130,0)</f>
        <v>0</v>
      </c>
      <c r="O130">
        <f t="shared" si="3"/>
        <v>0</v>
      </c>
    </row>
    <row r="131" spans="1:15">
      <c r="A131" s="9" t="s">
        <v>134</v>
      </c>
      <c r="B131">
        <f>B130*(1+$CD$2)*(1+每日報酬率!B131)</f>
        <v>0</v>
      </c>
      <c r="C131">
        <f>C130*(1+$CD$2)*(1+每日報酬率!C131)</f>
        <v>0.15779147933681867</v>
      </c>
      <c r="D131">
        <f>D130*(1+$CD$2)*(1+每日報酬率!D131)</f>
        <v>1.4541220020661874</v>
      </c>
      <c r="E131">
        <f>E130*(1+$CD$2)*(1+每日報酬率!E131)</f>
        <v>0.11121840509592319</v>
      </c>
      <c r="F131">
        <f t="shared" ref="F131:F194" si="4">SUM(B131:E131)</f>
        <v>1.7231318864989293</v>
      </c>
      <c r="K131" s="3">
        <f>IFERROR(G132/每日收盤價!B131,0)</f>
        <v>0</v>
      </c>
      <c r="L131" s="3">
        <f>IFERROR(H132/每日收盤價!C131,0)</f>
        <v>0</v>
      </c>
      <c r="M131" s="3">
        <f>IFERROR(I132/每日收盤價!D131,0)</f>
        <v>0</v>
      </c>
      <c r="N131" s="3">
        <f>IFERROR(J132/每日收盤價!E131,0)</f>
        <v>0</v>
      </c>
      <c r="O131">
        <f t="shared" ref="O131:O194" si="5">SUM(K131:N131)</f>
        <v>0</v>
      </c>
    </row>
    <row r="132" spans="1:15">
      <c r="A132" s="9" t="s">
        <v>135</v>
      </c>
      <c r="B132">
        <f>B131*(1+$CD$2)*(1+每日報酬率!B132)</f>
        <v>0</v>
      </c>
      <c r="C132">
        <f>C131*(1+$CD$2)*(1+每日報酬率!C132)</f>
        <v>0.15779147933681867</v>
      </c>
      <c r="D132">
        <f>D131*(1+$CD$2)*(1+每日報酬率!D132)</f>
        <v>1.4034809373176138</v>
      </c>
      <c r="E132">
        <f>E131*(1+$CD$2)*(1+每日報酬率!E132)</f>
        <v>0.10948061751629939</v>
      </c>
      <c r="F132">
        <f t="shared" si="4"/>
        <v>1.670753034170732</v>
      </c>
      <c r="K132" s="3">
        <f>IFERROR(G133/每日收盤價!B132,0)</f>
        <v>0</v>
      </c>
      <c r="L132" s="3">
        <f>IFERROR(H133/每日收盤價!C132,0)</f>
        <v>0</v>
      </c>
      <c r="M132" s="3">
        <f>IFERROR(I133/每日收盤價!D132,0)</f>
        <v>0</v>
      </c>
      <c r="N132" s="3">
        <f>IFERROR(J133/每日收盤價!E132,0)</f>
        <v>0</v>
      </c>
      <c r="O132">
        <f t="shared" si="5"/>
        <v>0</v>
      </c>
    </row>
    <row r="133" spans="1:15">
      <c r="A133" s="9" t="s">
        <v>136</v>
      </c>
      <c r="B133">
        <f>B132*(1+$CD$2)*(1+每日報酬率!B133)</f>
        <v>0</v>
      </c>
      <c r="C133">
        <f>C132*(1+$CD$2)*(1+每日報酬率!C133)</f>
        <v>0.14889637143302742</v>
      </c>
      <c r="D133">
        <f>D132*(1+$CD$2)*(1+每日報酬率!D133)</f>
        <v>1.35862742282602</v>
      </c>
      <c r="E133">
        <f>E132*(1+$CD$2)*(1+每日報酬率!E133)</f>
        <v>0.10643948925195774</v>
      </c>
      <c r="F133">
        <f t="shared" si="4"/>
        <v>1.6139632835110052</v>
      </c>
      <c r="K133" s="3">
        <f>IFERROR(G134/每日收盤價!B133,0)</f>
        <v>0</v>
      </c>
      <c r="L133" s="3">
        <f>IFERROR(H134/每日收盤價!C133,0)</f>
        <v>0</v>
      </c>
      <c r="M133" s="3">
        <f>IFERROR(I134/每日收盤價!D133,0)</f>
        <v>0</v>
      </c>
      <c r="N133" s="3">
        <f>IFERROR(J134/每日收盤價!E133,0)</f>
        <v>0</v>
      </c>
      <c r="O133">
        <f t="shared" si="5"/>
        <v>0</v>
      </c>
    </row>
    <row r="134" spans="1:15">
      <c r="A134" s="9" t="s">
        <v>137</v>
      </c>
      <c r="B134">
        <f>B133*(1+$CD$2)*(1+每日報酬率!B134)</f>
        <v>0</v>
      </c>
      <c r="C134">
        <f>C133*(1+$CD$2)*(1+每日報酬率!C134)</f>
        <v>0.15585776022729883</v>
      </c>
      <c r="D134">
        <f>D133*(1+$CD$2)*(1+每日報酬率!D134)</f>
        <v>1.4165029253958186</v>
      </c>
      <c r="E134">
        <f>E133*(1+$CD$2)*(1+每日報酬率!E134)</f>
        <v>0.11078395820101725</v>
      </c>
      <c r="F134">
        <f t="shared" si="4"/>
        <v>1.6831446438241346</v>
      </c>
      <c r="K134" s="3">
        <f>IFERROR(G135/每日收盤價!B134,0)</f>
        <v>0</v>
      </c>
      <c r="L134" s="3">
        <f>IFERROR(H135/每日收盤價!C134,0)</f>
        <v>0</v>
      </c>
      <c r="M134" s="3">
        <f>IFERROR(I135/每日收盤價!D134,0)</f>
        <v>0</v>
      </c>
      <c r="N134" s="3">
        <f>IFERROR(J135/每日收盤價!E134,0)</f>
        <v>0</v>
      </c>
      <c r="O134">
        <f t="shared" si="5"/>
        <v>0</v>
      </c>
    </row>
    <row r="135" spans="1:15">
      <c r="A135" s="9" t="s">
        <v>138</v>
      </c>
      <c r="B135">
        <f>B134*(1+$CD$2)*(1+每日報酬率!B135)</f>
        <v>0</v>
      </c>
      <c r="C135">
        <f>C134*(1+$CD$2)*(1+每日報酬率!C135)</f>
        <v>0.14850962761112346</v>
      </c>
      <c r="D135">
        <f>D134*(1+$CD$2)*(1+每日報酬率!D135)</f>
        <v>1.3369241093623456</v>
      </c>
      <c r="E135">
        <f>E134*(1+$CD$2)*(1+每日報酬率!E135)</f>
        <v>0.10817727683158154</v>
      </c>
      <c r="F135">
        <f t="shared" si="4"/>
        <v>1.5936110138050508</v>
      </c>
      <c r="K135" s="3">
        <f>IFERROR(G136/每日收盤價!B135,0)</f>
        <v>0</v>
      </c>
      <c r="L135" s="3">
        <f>IFERROR(H136/每日收盤價!C135,0)</f>
        <v>0</v>
      </c>
      <c r="M135" s="3">
        <f>IFERROR(I136/每日收盤價!D135,0)</f>
        <v>0</v>
      </c>
      <c r="N135" s="3">
        <f>IFERROR(J136/每日收盤價!E135,0)</f>
        <v>0</v>
      </c>
      <c r="O135">
        <f t="shared" si="5"/>
        <v>0</v>
      </c>
    </row>
    <row r="136" spans="1:15">
      <c r="A136" s="9" t="s">
        <v>139</v>
      </c>
      <c r="B136">
        <f>B135*(1+$CD$2)*(1+每日報酬率!B136)</f>
        <v>0</v>
      </c>
      <c r="C136">
        <f>C135*(1+$CD$2)*(1+每日報酬率!C136)</f>
        <v>0.14928311525493138</v>
      </c>
      <c r="D136">
        <f>D135*(1+$CD$2)*(1+每日報酬率!D136)</f>
        <v>1.365861860647245</v>
      </c>
      <c r="E136">
        <f>E135*(1+$CD$2)*(1+每日報酬率!E136)</f>
        <v>0.10774282993667558</v>
      </c>
      <c r="F136">
        <f t="shared" si="4"/>
        <v>1.6228878058388521</v>
      </c>
      <c r="K136" s="3">
        <f>IFERROR(G137/每日收盤價!B136,0)</f>
        <v>0</v>
      </c>
      <c r="L136" s="3">
        <f>IFERROR(H137/每日收盤價!C136,0)</f>
        <v>0</v>
      </c>
      <c r="M136" s="3">
        <f>IFERROR(I137/每日收盤價!D136,0)</f>
        <v>0</v>
      </c>
      <c r="N136" s="3">
        <f>IFERROR(J137/每日收盤價!E136,0)</f>
        <v>0</v>
      </c>
      <c r="O136">
        <f t="shared" si="5"/>
        <v>0</v>
      </c>
    </row>
    <row r="137" spans="1:15">
      <c r="A137" s="9" t="s">
        <v>140</v>
      </c>
      <c r="B137">
        <f>B136*(1+$CD$2)*(1+每日報酬率!B137)</f>
        <v>0</v>
      </c>
      <c r="C137">
        <f>C136*(1+$CD$2)*(1+每日報酬率!C137)</f>
        <v>0.1516035781863552</v>
      </c>
      <c r="D137">
        <f>D136*(1+$CD$2)*(1+每日報酬率!D137)</f>
        <v>1.3600743103902653</v>
      </c>
      <c r="E137">
        <f>E136*(1+$CD$2)*(1+每日報酬率!E137)</f>
        <v>0.10904617062139345</v>
      </c>
      <c r="F137">
        <f t="shared" si="4"/>
        <v>1.6207240591980139</v>
      </c>
      <c r="K137" s="3">
        <f>IFERROR(G138/每日收盤價!B137,0)</f>
        <v>0</v>
      </c>
      <c r="L137" s="3">
        <f>IFERROR(H138/每日收盤價!C137,0)</f>
        <v>0</v>
      </c>
      <c r="M137" s="3">
        <f>IFERROR(I138/每日收盤價!D137,0)</f>
        <v>0</v>
      </c>
      <c r="N137" s="3">
        <f>IFERROR(J138/每日收盤價!E137,0)</f>
        <v>0</v>
      </c>
      <c r="O137">
        <f t="shared" si="5"/>
        <v>0</v>
      </c>
    </row>
    <row r="138" spans="1:15">
      <c r="A138" s="9" t="s">
        <v>141</v>
      </c>
      <c r="B138">
        <f>B137*(1+$CD$2)*(1+每日報酬率!B138)</f>
        <v>0</v>
      </c>
      <c r="C138">
        <f>C137*(1+$CD$2)*(1+每日報酬率!C138)</f>
        <v>0.15315055347397105</v>
      </c>
      <c r="D138">
        <f>D137*(1+$CD$2)*(1+每日報酬率!D138)</f>
        <v>1.3513929850047957</v>
      </c>
      <c r="E138">
        <f>E137*(1+$CD$2)*(1+每日報酬率!E138)</f>
        <v>0.1060050423570518</v>
      </c>
      <c r="F138">
        <f t="shared" si="4"/>
        <v>1.6105485808358184</v>
      </c>
      <c r="K138" s="3">
        <f>IFERROR(G139/每日收盤價!B138,0)</f>
        <v>0</v>
      </c>
      <c r="L138" s="3">
        <f>IFERROR(H139/每日收盤價!C138,0)</f>
        <v>0</v>
      </c>
      <c r="M138" s="3">
        <f>IFERROR(I139/每日收盤價!D138,0)</f>
        <v>0</v>
      </c>
      <c r="N138" s="3">
        <f>IFERROR(J139/每日收盤價!E138,0)</f>
        <v>0</v>
      </c>
      <c r="O138">
        <f t="shared" si="5"/>
        <v>0</v>
      </c>
    </row>
    <row r="139" spans="1:15">
      <c r="A139" s="9" t="s">
        <v>142</v>
      </c>
      <c r="B139">
        <f>B138*(1+$CD$2)*(1+每日報酬率!B139)</f>
        <v>0</v>
      </c>
      <c r="C139">
        <f>C138*(1+$CD$2)*(1+每日報酬率!C139)</f>
        <v>0.15663124787110674</v>
      </c>
      <c r="D139">
        <f>D138*(1+$CD$2)*(1+每日報酬率!D139)</f>
        <v>1.3890120616751647</v>
      </c>
      <c r="E139">
        <f>E138*(1+$CD$2)*(1+每日報酬率!E139)</f>
        <v>0.10252946719780419</v>
      </c>
      <c r="F139">
        <f t="shared" si="4"/>
        <v>1.6481727767440755</v>
      </c>
      <c r="K139" s="3">
        <f>IFERROR(G140/每日收盤價!B139,0)</f>
        <v>0</v>
      </c>
      <c r="L139" s="3">
        <f>IFERROR(H140/每日收盤價!C139,0)</f>
        <v>0</v>
      </c>
      <c r="M139" s="3">
        <f>IFERROR(I140/每日收盤價!D139,0)</f>
        <v>0</v>
      </c>
      <c r="N139" s="3">
        <f>IFERROR(J140/每日收盤價!E139,0)</f>
        <v>0</v>
      </c>
      <c r="O139">
        <f t="shared" si="5"/>
        <v>0</v>
      </c>
    </row>
    <row r="140" spans="1:15">
      <c r="A140" s="9" t="s">
        <v>143</v>
      </c>
      <c r="B140">
        <f>B139*(1+$CD$2)*(1+每日報酬率!B140)</f>
        <v>0</v>
      </c>
      <c r="C140">
        <f>C139*(1+$CD$2)*(1+每日報酬率!C140)</f>
        <v>0.14425544557017977</v>
      </c>
      <c r="D140">
        <f>D139*(1+$CD$2)*(1+每日報酬率!D140)</f>
        <v>1.3065394705132019</v>
      </c>
      <c r="E140">
        <f>E139*(1+$CD$2)*(1+每日報酬率!E140)</f>
        <v>9.4709423089497091E-2</v>
      </c>
      <c r="F140">
        <f t="shared" si="4"/>
        <v>1.5455043391728789</v>
      </c>
      <c r="K140" s="3">
        <f>IFERROR(G141/每日收盤價!B140,0)</f>
        <v>0</v>
      </c>
      <c r="L140" s="3">
        <f>IFERROR(H141/每日收盤價!C140,0)</f>
        <v>0</v>
      </c>
      <c r="M140" s="3">
        <f>IFERROR(I141/每日收盤價!D140,0)</f>
        <v>0</v>
      </c>
      <c r="N140" s="3">
        <f>IFERROR(J141/每日收盤價!E140,0)</f>
        <v>0</v>
      </c>
      <c r="O140">
        <f t="shared" si="5"/>
        <v>0</v>
      </c>
    </row>
    <row r="141" spans="1:15">
      <c r="A141" s="9" t="s">
        <v>144</v>
      </c>
      <c r="B141">
        <f>B140*(1+$CD$2)*(1+每日報酬率!B141)</f>
        <v>0</v>
      </c>
      <c r="C141">
        <f>C140*(1+$CD$2)*(1+每日報酬率!C141)</f>
        <v>0.129945924159733</v>
      </c>
      <c r="D141">
        <f>D140*(1+$CD$2)*(1+每日報酬率!D141)</f>
        <v>1.179213364859645</v>
      </c>
      <c r="E141">
        <f>E140*(1+$CD$2)*(1+每日報酬率!E141)</f>
        <v>8.6107374570359274E-2</v>
      </c>
      <c r="F141">
        <f t="shared" si="4"/>
        <v>1.3952666635897373</v>
      </c>
      <c r="K141" s="3">
        <f>IFERROR(G142/每日收盤價!B141,0)</f>
        <v>0</v>
      </c>
      <c r="L141" s="3">
        <f>IFERROR(H142/每日收盤價!C141,0)</f>
        <v>0</v>
      </c>
      <c r="M141" s="3">
        <f>IFERROR(I142/每日收盤價!D141,0)</f>
        <v>0</v>
      </c>
      <c r="N141" s="3">
        <f>IFERROR(J142/每日收盤價!E141,0)</f>
        <v>0</v>
      </c>
      <c r="O141">
        <f t="shared" si="5"/>
        <v>0</v>
      </c>
    </row>
    <row r="142" spans="1:15">
      <c r="A142" s="9" t="s">
        <v>145</v>
      </c>
      <c r="B142">
        <f>B141*(1+$CD$2)*(1+每日報酬率!B142)</f>
        <v>0</v>
      </c>
      <c r="C142">
        <f>C141*(1+$CD$2)*(1+每日報酬率!C142)</f>
        <v>0.12955918033782904</v>
      </c>
      <c r="D142">
        <f>D141*(1+$CD$2)*(1+每日報酬率!D142)</f>
        <v>1.2732610565355675</v>
      </c>
      <c r="E142">
        <f>E141*(1+$CD$2)*(1+每日報酬率!E142)</f>
        <v>9.3406082404779225E-2</v>
      </c>
      <c r="F142">
        <f t="shared" si="4"/>
        <v>1.496226319278176</v>
      </c>
      <c r="K142" s="3">
        <f>IFERROR(G143/每日收盤價!B142,0)</f>
        <v>0</v>
      </c>
      <c r="L142" s="3">
        <f>IFERROR(H143/每日收盤價!C142,0)</f>
        <v>0</v>
      </c>
      <c r="M142" s="3">
        <f>IFERROR(I143/每日收盤價!D142,0)</f>
        <v>0</v>
      </c>
      <c r="N142" s="3">
        <f>IFERROR(J143/每日收盤價!E142,0)</f>
        <v>0</v>
      </c>
      <c r="O142">
        <f t="shared" si="5"/>
        <v>0</v>
      </c>
    </row>
    <row r="143" spans="1:15">
      <c r="A143" s="9" t="s">
        <v>146</v>
      </c>
      <c r="B143">
        <f>B142*(1+$CD$2)*(1+每日報酬率!B143)</f>
        <v>0</v>
      </c>
      <c r="C143">
        <f>C142*(1+$CD$2)*(1+每日報酬率!C143)</f>
        <v>0.13187964326925283</v>
      </c>
      <c r="D143">
        <f>D142*(1+$CD$2)*(1+每日報酬率!D143)</f>
        <v>1.3311365591053661</v>
      </c>
      <c r="E143">
        <f>E142*(1+$CD$2)*(1+每日報酬率!E143)</f>
        <v>9.9922785828368471E-2</v>
      </c>
      <c r="F143">
        <f t="shared" si="4"/>
        <v>1.5629389882029874</v>
      </c>
      <c r="K143" s="3">
        <f>IFERROR(G144/每日收盤價!B143,0)</f>
        <v>0</v>
      </c>
      <c r="L143" s="3">
        <f>IFERROR(H144/每日收盤價!C143,0)</f>
        <v>0</v>
      </c>
      <c r="M143" s="3">
        <f>IFERROR(I144/每日收盤價!D143,0)</f>
        <v>0</v>
      </c>
      <c r="N143" s="3">
        <f>IFERROR(J144/每日收盤價!E143,0)</f>
        <v>0</v>
      </c>
      <c r="O143">
        <f t="shared" si="5"/>
        <v>0</v>
      </c>
    </row>
    <row r="144" spans="1:15">
      <c r="A144" s="9" t="s">
        <v>147</v>
      </c>
      <c r="B144">
        <f>B143*(1+$CD$2)*(1+每日報酬率!B144)</f>
        <v>0</v>
      </c>
      <c r="C144">
        <f>C143*(1+$CD$2)*(1+每日報酬率!C144)</f>
        <v>0.1264652297625973</v>
      </c>
      <c r="D144">
        <f>D143*(1+$CD$2)*(1+每日報酬率!D144)</f>
        <v>1.296411257563487</v>
      </c>
      <c r="E144">
        <f>E143*(1+$CD$2)*(1+每日報酬率!E144)</f>
        <v>9.6881657564026821E-2</v>
      </c>
      <c r="F144">
        <f t="shared" si="4"/>
        <v>1.519758144890111</v>
      </c>
      <c r="K144" s="3">
        <f>IFERROR(G145/每日收盤價!B144,0)</f>
        <v>0</v>
      </c>
      <c r="L144" s="3">
        <f>IFERROR(H145/每日收盤價!C144,0)</f>
        <v>0</v>
      </c>
      <c r="M144" s="3">
        <f>IFERROR(I145/每日收盤價!D144,0)</f>
        <v>0</v>
      </c>
      <c r="N144" s="3">
        <f>IFERROR(J145/每日收盤價!E144,0)</f>
        <v>0</v>
      </c>
      <c r="O144">
        <f t="shared" si="5"/>
        <v>0</v>
      </c>
    </row>
    <row r="145" spans="1:15">
      <c r="A145" s="9" t="s">
        <v>148</v>
      </c>
      <c r="B145">
        <f>B144*(1+$CD$2)*(1+每日報酬率!B145)</f>
        <v>0</v>
      </c>
      <c r="C145">
        <f>C144*(1+$CD$2)*(1+每日報酬率!C145)</f>
        <v>0.13033266798163698</v>
      </c>
      <c r="D145">
        <f>D144*(1+$CD$2)*(1+每日報酬率!D145)</f>
        <v>1.3513929850047954</v>
      </c>
      <c r="E145">
        <f>E144*(1+$CD$2)*(1+每日報酬率!E145)</f>
        <v>9.7750551353838727E-2</v>
      </c>
      <c r="F145">
        <f t="shared" si="4"/>
        <v>1.5794762043402713</v>
      </c>
      <c r="K145" s="3">
        <f>IFERROR(G146/每日收盤價!B145,0)</f>
        <v>0</v>
      </c>
      <c r="L145" s="3">
        <f>IFERROR(H146/每日收盤價!C145,0)</f>
        <v>0</v>
      </c>
      <c r="M145" s="3">
        <f>IFERROR(I146/每日收盤價!D145,0)</f>
        <v>0</v>
      </c>
      <c r="N145" s="3">
        <f>IFERROR(J146/每日收盤價!E145,0)</f>
        <v>0</v>
      </c>
      <c r="O145">
        <f t="shared" si="5"/>
        <v>0</v>
      </c>
    </row>
    <row r="146" spans="1:15">
      <c r="A146" s="9" t="s">
        <v>149</v>
      </c>
      <c r="B146">
        <f>B145*(1+$CD$2)*(1+每日報酬率!B146)</f>
        <v>0</v>
      </c>
      <c r="C146">
        <f>C145*(1+$CD$2)*(1+每日報酬率!C146)</f>
        <v>0.13613382531019649</v>
      </c>
      <c r="D146">
        <f>D145*(1+$CD$2)*(1+每日報酬率!D146)</f>
        <v>1.3600743103902653</v>
      </c>
      <c r="E146">
        <f>E145*(1+$CD$2)*(1+每日報酬率!E146)</f>
        <v>0.10209502030289823</v>
      </c>
      <c r="F146">
        <f t="shared" si="4"/>
        <v>1.59830315600336</v>
      </c>
      <c r="K146" s="3">
        <f>IFERROR(G147/每日收盤價!B146,0)</f>
        <v>0</v>
      </c>
      <c r="L146" s="3">
        <f>IFERROR(H147/每日收盤價!C146,0)</f>
        <v>0</v>
      </c>
      <c r="M146" s="3">
        <f>IFERROR(I147/每日收盤價!D146,0)</f>
        <v>0</v>
      </c>
      <c r="N146" s="3">
        <f>IFERROR(J147/每日收盤價!E146,0)</f>
        <v>0</v>
      </c>
      <c r="O146">
        <f t="shared" si="5"/>
        <v>0</v>
      </c>
    </row>
    <row r="147" spans="1:15">
      <c r="A147" s="9" t="s">
        <v>150</v>
      </c>
      <c r="B147">
        <f>B146*(1+$CD$2)*(1+每日報酬率!B147)</f>
        <v>0</v>
      </c>
      <c r="C147">
        <f>C146*(1+$CD$2)*(1+每日報酬率!C147)</f>
        <v>0.14000126352923614</v>
      </c>
      <c r="D147">
        <f>D146*(1+$CD$2)*(1+每日報酬率!D147)</f>
        <v>1.3615211979545103</v>
      </c>
      <c r="E147">
        <f>E146*(1+$CD$2)*(1+每日報酬率!E147)</f>
        <v>0.10079167961818038</v>
      </c>
      <c r="F147">
        <f t="shared" si="4"/>
        <v>1.6023141411019268</v>
      </c>
      <c r="K147" s="3">
        <f>IFERROR(G148/每日收盤價!B147,0)</f>
        <v>0</v>
      </c>
      <c r="L147" s="3">
        <f>IFERROR(H148/每日收盤價!C147,0)</f>
        <v>0</v>
      </c>
      <c r="M147" s="3">
        <f>IFERROR(I148/每日收盤價!D147,0)</f>
        <v>0</v>
      </c>
      <c r="N147" s="3">
        <f>IFERROR(J148/每日收盤價!E147,0)</f>
        <v>0</v>
      </c>
      <c r="O147">
        <f t="shared" si="5"/>
        <v>0</v>
      </c>
    </row>
    <row r="148" spans="1:15">
      <c r="A148" s="9" t="s">
        <v>151</v>
      </c>
      <c r="B148">
        <f>B147*(1+$CD$2)*(1+每日報酬率!B148)</f>
        <v>0</v>
      </c>
      <c r="C148">
        <f>C147*(1+$CD$2)*(1+每日報酬率!C148)</f>
        <v>0.14348195792637186</v>
      </c>
      <c r="D148">
        <f>D147*(1+$CD$2)*(1+每日報酬率!D148)</f>
        <v>1.3716494109042252</v>
      </c>
      <c r="E148">
        <f>E147*(1+$CD$2)*(1+每日報酬率!E148)</f>
        <v>0.10296391409271013</v>
      </c>
      <c r="F148">
        <f t="shared" si="4"/>
        <v>1.6180952829233071</v>
      </c>
      <c r="K148" s="3">
        <f>IFERROR(G149/每日收盤價!B148,0)</f>
        <v>0</v>
      </c>
      <c r="L148" s="3">
        <f>IFERROR(H149/每日收盤價!C148,0)</f>
        <v>0</v>
      </c>
      <c r="M148" s="3">
        <f>IFERROR(I149/每日收盤價!D148,0)</f>
        <v>0</v>
      </c>
      <c r="N148" s="3">
        <f>IFERROR(J149/每日收盤價!E148,0)</f>
        <v>0</v>
      </c>
      <c r="O148">
        <f t="shared" si="5"/>
        <v>0</v>
      </c>
    </row>
    <row r="149" spans="1:15">
      <c r="A149" s="9" t="s">
        <v>152</v>
      </c>
      <c r="B149">
        <f>B148*(1+$CD$2)*(1+每日報酬率!B149)</f>
        <v>0</v>
      </c>
      <c r="C149">
        <f>C148*(1+$CD$2)*(1+每日報酬率!C149)</f>
        <v>0.14000126352923617</v>
      </c>
      <c r="D149">
        <f>D148*(1+$CD$2)*(1+每日報酬率!D149)</f>
        <v>1.3644149730830004</v>
      </c>
      <c r="E149">
        <f>E148*(1+$CD$2)*(1+每日報酬率!E149)</f>
        <v>0.10035723272327443</v>
      </c>
      <c r="F149">
        <f t="shared" si="4"/>
        <v>1.6047734693355111</v>
      </c>
      <c r="K149" s="3">
        <f>IFERROR(G150/每日收盤價!B149,0)</f>
        <v>0</v>
      </c>
      <c r="L149" s="3">
        <f>IFERROR(H150/每日收盤價!C149,0)</f>
        <v>0</v>
      </c>
      <c r="M149" s="3">
        <f>IFERROR(I150/每日收盤價!D149,0)</f>
        <v>0</v>
      </c>
      <c r="N149" s="3">
        <f>IFERROR(J150/每日收盤價!E149,0)</f>
        <v>0</v>
      </c>
      <c r="O149">
        <f t="shared" si="5"/>
        <v>0</v>
      </c>
    </row>
    <row r="150" spans="1:15">
      <c r="A150" s="9" t="s">
        <v>153</v>
      </c>
      <c r="B150">
        <f>B149*(1+$CD$2)*(1+每日報酬率!B150)</f>
        <v>0</v>
      </c>
      <c r="C150">
        <f>C149*(1+$CD$2)*(1+每日報酬率!C150)</f>
        <v>0.14232172646065999</v>
      </c>
      <c r="D150">
        <f>D149*(1+$CD$2)*(1+每日報酬率!D150)</f>
        <v>1.4020340497533694</v>
      </c>
      <c r="E150">
        <f>E149*(1+$CD$2)*(1+每日報酬率!E150)</f>
        <v>0.10687393614686368</v>
      </c>
      <c r="F150">
        <f t="shared" si="4"/>
        <v>1.651229712360893</v>
      </c>
      <c r="K150" s="3">
        <f>IFERROR(G151/每日收盤價!B150,0)</f>
        <v>0</v>
      </c>
      <c r="L150" s="3">
        <f>IFERROR(H151/每日收盤價!C150,0)</f>
        <v>0</v>
      </c>
      <c r="M150" s="3">
        <f>IFERROR(I151/每日收盤價!D150,0)</f>
        <v>0</v>
      </c>
      <c r="N150" s="3">
        <f>IFERROR(J151/每日收盤價!E150,0)</f>
        <v>0</v>
      </c>
      <c r="O150">
        <f t="shared" si="5"/>
        <v>0</v>
      </c>
    </row>
    <row r="151" spans="1:15">
      <c r="A151" s="9" t="s">
        <v>154</v>
      </c>
      <c r="B151">
        <f>B150*(1+$CD$2)*(1+每日報酬率!B151)</f>
        <v>0</v>
      </c>
      <c r="C151">
        <f>C150*(1+$CD$2)*(1+每日報酬率!C151)</f>
        <v>0.14464218939208379</v>
      </c>
      <c r="D151">
        <f>D150*(1+$CD$2)*(1+每日報酬率!D151)</f>
        <v>1.4078216000103492</v>
      </c>
      <c r="E151">
        <f>E150*(1+$CD$2)*(1+每日報酬率!E151)</f>
        <v>0.10904617062139342</v>
      </c>
      <c r="F151">
        <f t="shared" si="4"/>
        <v>1.6615099600238263</v>
      </c>
      <c r="K151" s="3">
        <f>IFERROR(G152/每日收盤價!B151,0)</f>
        <v>0</v>
      </c>
      <c r="L151" s="3">
        <f>IFERROR(H152/每日收盤價!C151,0)</f>
        <v>0</v>
      </c>
      <c r="M151" s="3">
        <f>IFERROR(I152/每日收盤價!D151,0)</f>
        <v>0</v>
      </c>
      <c r="N151" s="3">
        <f>IFERROR(J152/每日收盤價!E151,0)</f>
        <v>0</v>
      </c>
      <c r="O151">
        <f t="shared" si="5"/>
        <v>0</v>
      </c>
    </row>
    <row r="152" spans="1:15">
      <c r="A152" s="9" t="s">
        <v>155</v>
      </c>
      <c r="B152">
        <f>B151*(1+$CD$2)*(1+每日報酬率!B152)</f>
        <v>0</v>
      </c>
      <c r="C152">
        <f>C151*(1+$CD$2)*(1+每日報酬率!C152)</f>
        <v>0.14425544557017983</v>
      </c>
      <c r="D152">
        <f>D151*(1+$CD$2)*(1+每日報酬率!D152)</f>
        <v>1.4078216000103492</v>
      </c>
      <c r="E152">
        <f>E151*(1+$CD$2)*(1+每日報酬率!E152)</f>
        <v>0.10861172372648747</v>
      </c>
      <c r="F152">
        <f t="shared" si="4"/>
        <v>1.6606887693070165</v>
      </c>
      <c r="K152" s="3">
        <f>IFERROR(G153/每日收盤價!B152,0)</f>
        <v>0</v>
      </c>
      <c r="L152" s="3">
        <f>IFERROR(H153/每日收盤價!C152,0)</f>
        <v>0</v>
      </c>
      <c r="M152" s="3">
        <f>IFERROR(I153/每日收盤價!D152,0)</f>
        <v>0</v>
      </c>
      <c r="N152" s="3">
        <f>IFERROR(J153/每日收盤價!E152,0)</f>
        <v>0</v>
      </c>
      <c r="O152">
        <f t="shared" si="5"/>
        <v>0</v>
      </c>
    </row>
    <row r="153" spans="1:15">
      <c r="A153" s="9" t="s">
        <v>156</v>
      </c>
      <c r="B153">
        <f>B152*(1+$CD$2)*(1+每日報酬率!B153)</f>
        <v>0</v>
      </c>
      <c r="C153">
        <f>C152*(1+$CD$2)*(1+每日報酬率!C153)</f>
        <v>0.14193498263875604</v>
      </c>
      <c r="D153">
        <f>D152*(1+$CD$2)*(1+每日報酬率!D153)</f>
        <v>1.3861182865466748</v>
      </c>
      <c r="E153">
        <f>E152*(1+$CD$2)*(1+每日報酬率!E153)</f>
        <v>0.10600504235705177</v>
      </c>
      <c r="F153">
        <f t="shared" si="4"/>
        <v>1.6340583115424825</v>
      </c>
      <c r="K153" s="3">
        <f>IFERROR(G154/每日收盤價!B153,0)</f>
        <v>0</v>
      </c>
      <c r="L153" s="3">
        <f>IFERROR(H154/每日收盤價!C153,0)</f>
        <v>0</v>
      </c>
      <c r="M153" s="3">
        <f>IFERROR(I154/每日收盤價!D153,0)</f>
        <v>0</v>
      </c>
      <c r="N153" s="3">
        <f>IFERROR(J154/每日收盤價!E153,0)</f>
        <v>0</v>
      </c>
      <c r="O153">
        <f t="shared" si="5"/>
        <v>0</v>
      </c>
    </row>
    <row r="154" spans="1:15">
      <c r="A154" s="9" t="s">
        <v>157</v>
      </c>
      <c r="B154">
        <f>B153*(1+$CD$2)*(1+每日報酬率!B154)</f>
        <v>0</v>
      </c>
      <c r="C154">
        <f>C153*(1+$CD$2)*(1+每日報酬率!C154)</f>
        <v>0.1388410320635243</v>
      </c>
      <c r="D154">
        <f>D153*(1+$CD$2)*(1+每日報酬率!D154)</f>
        <v>1.3759900735969599</v>
      </c>
      <c r="E154">
        <f>E153*(1+$CD$2)*(1+每日報酬率!E154)</f>
        <v>0.10687393614686366</v>
      </c>
      <c r="F154">
        <f t="shared" si="4"/>
        <v>1.6217050418073478</v>
      </c>
      <c r="K154" s="3">
        <f>IFERROR(G155/每日收盤價!B154,0)</f>
        <v>0</v>
      </c>
      <c r="L154" s="3">
        <f>IFERROR(H155/每日收盤價!C154,0)</f>
        <v>0</v>
      </c>
      <c r="M154" s="3">
        <f>IFERROR(I155/每日收盤價!D154,0)</f>
        <v>0</v>
      </c>
      <c r="N154" s="3">
        <f>IFERROR(J155/每日收盤價!E154,0)</f>
        <v>0</v>
      </c>
      <c r="O154">
        <f t="shared" si="5"/>
        <v>0</v>
      </c>
    </row>
    <row r="155" spans="1:15">
      <c r="A155" s="9" t="s">
        <v>158</v>
      </c>
      <c r="B155">
        <f>B154*(1+$CD$2)*(1+每日報酬率!B155)</f>
        <v>0</v>
      </c>
      <c r="C155">
        <f>C154*(1+$CD$2)*(1+每日報酬率!C155)</f>
        <v>0.13922777588542826</v>
      </c>
      <c r="D155">
        <f>D154*(1+$CD$2)*(1+每日報酬率!D155)</f>
        <v>1.37309629846847</v>
      </c>
      <c r="E155">
        <f>E154*(1+$CD$2)*(1+每日報酬率!E155)</f>
        <v>0.10643948925195772</v>
      </c>
      <c r="F155">
        <f t="shared" si="4"/>
        <v>1.6187635636058562</v>
      </c>
      <c r="K155" s="3">
        <f>IFERROR(G156/每日收盤價!B155,0)</f>
        <v>0</v>
      </c>
      <c r="L155" s="3">
        <f>IFERROR(H156/每日收盤價!C155,0)</f>
        <v>0</v>
      </c>
      <c r="M155" s="3">
        <f>IFERROR(I156/每日收盤價!D155,0)</f>
        <v>0</v>
      </c>
      <c r="N155" s="3">
        <f>IFERROR(J156/每日收盤價!E155,0)</f>
        <v>0</v>
      </c>
      <c r="O155">
        <f t="shared" si="5"/>
        <v>0</v>
      </c>
    </row>
    <row r="156" spans="1:15">
      <c r="A156" s="9" t="s">
        <v>159</v>
      </c>
      <c r="B156">
        <f>B155*(1+$CD$2)*(1+每日報酬率!B156)</f>
        <v>0</v>
      </c>
      <c r="C156">
        <f>C155*(1+$CD$2)*(1+每日報酬率!C156)</f>
        <v>0.14077475117304411</v>
      </c>
      <c r="D156">
        <f>D155*(1+$CD$2)*(1+每日報酬率!D156)</f>
        <v>1.3745431860327151</v>
      </c>
      <c r="E156">
        <f>E155*(1+$CD$2)*(1+每日報酬率!E156)</f>
        <v>0.10557059546214582</v>
      </c>
      <c r="F156">
        <f t="shared" si="4"/>
        <v>1.620888532667905</v>
      </c>
      <c r="K156" s="3">
        <f>IFERROR(G157/每日收盤價!B156,0)</f>
        <v>0</v>
      </c>
      <c r="L156" s="3">
        <f>IFERROR(H157/每日收盤價!C156,0)</f>
        <v>0</v>
      </c>
      <c r="M156" s="3">
        <f>IFERROR(I157/每日收盤價!D156,0)</f>
        <v>0</v>
      </c>
      <c r="N156" s="3">
        <f>IFERROR(J157/每日收盤價!E156,0)</f>
        <v>0</v>
      </c>
      <c r="O156">
        <f t="shared" si="5"/>
        <v>0</v>
      </c>
    </row>
    <row r="157" spans="1:15">
      <c r="A157" s="9" t="s">
        <v>160</v>
      </c>
      <c r="B157">
        <f>B156*(1+$CD$2)*(1+每日報酬率!B157)</f>
        <v>0</v>
      </c>
      <c r="C157">
        <f>C156*(1+$CD$2)*(1+每日報酬率!C157)</f>
        <v>0.13961451970733221</v>
      </c>
      <c r="D157">
        <f>D156*(1+$CD$2)*(1+每日報酬率!D157)</f>
        <v>1.3629680855187554</v>
      </c>
      <c r="E157">
        <f>E156*(1+$CD$2)*(1+每日報酬率!E157)</f>
        <v>0.10513614856723988</v>
      </c>
      <c r="F157">
        <f t="shared" si="4"/>
        <v>1.6077187537933275</v>
      </c>
      <c r="K157" s="3">
        <f>IFERROR(G158/每日收盤價!B157,0)</f>
        <v>0</v>
      </c>
      <c r="L157" s="3">
        <f>IFERROR(H158/每日收盤價!C157,0)</f>
        <v>0</v>
      </c>
      <c r="M157" s="3">
        <f>IFERROR(I158/每日收盤價!D157,0)</f>
        <v>0</v>
      </c>
      <c r="N157" s="3">
        <f>IFERROR(J158/每日收盤價!E157,0)</f>
        <v>0</v>
      </c>
      <c r="O157">
        <f t="shared" si="5"/>
        <v>0</v>
      </c>
    </row>
    <row r="158" spans="1:15">
      <c r="A158" s="9" t="s">
        <v>161</v>
      </c>
      <c r="B158">
        <f>B157*(1+$CD$2)*(1+每日報酬率!B158)</f>
        <v>0</v>
      </c>
      <c r="C158">
        <f>C157*(1+$CD$2)*(1+每日報酬率!C158)</f>
        <v>0.14348195792637189</v>
      </c>
      <c r="D158">
        <f>D157*(1+$CD$2)*(1+每日報酬率!D158)</f>
        <v>1.3947996119321446</v>
      </c>
      <c r="E158">
        <f>E157*(1+$CD$2)*(1+每日報酬率!E158)</f>
        <v>0.10426725477742799</v>
      </c>
      <c r="F158">
        <f t="shared" si="4"/>
        <v>1.6425488246359445</v>
      </c>
      <c r="K158" s="3">
        <f>IFERROR(G159/每日收盤價!B158,0)</f>
        <v>0</v>
      </c>
      <c r="L158" s="3">
        <f>IFERROR(H159/每日收盤價!C158,0)</f>
        <v>0</v>
      </c>
      <c r="M158" s="3">
        <f>IFERROR(I159/每日收盤價!D158,0)</f>
        <v>0</v>
      </c>
      <c r="N158" s="3">
        <f>IFERROR(J159/每日收盤價!E158,0)</f>
        <v>0</v>
      </c>
      <c r="O158">
        <f t="shared" si="5"/>
        <v>0</v>
      </c>
    </row>
    <row r="159" spans="1:15">
      <c r="A159" s="9" t="s">
        <v>162</v>
      </c>
      <c r="B159">
        <f>B158*(1+$CD$2)*(1+每日報酬率!B159)</f>
        <v>0</v>
      </c>
      <c r="C159">
        <f>C158*(1+$CD$2)*(1+每日報酬率!C159)</f>
        <v>0.14270847028256395</v>
      </c>
      <c r="D159">
        <f>D158*(1+$CD$2)*(1+每日報酬率!D159)</f>
        <v>1.3644149730830004</v>
      </c>
      <c r="E159">
        <f>E158*(1+$CD$2)*(1+每日報酬率!E159)</f>
        <v>0.10861172372648749</v>
      </c>
      <c r="F159">
        <f t="shared" si="4"/>
        <v>1.6157351670920517</v>
      </c>
      <c r="K159" s="3">
        <f>IFERROR(G160/每日收盤價!B159,0)</f>
        <v>0</v>
      </c>
      <c r="L159" s="3">
        <f>IFERROR(H160/每日收盤價!C159,0)</f>
        <v>0</v>
      </c>
      <c r="M159" s="3">
        <f>IFERROR(I160/每日收盤價!D159,0)</f>
        <v>0</v>
      </c>
      <c r="N159" s="3">
        <f>IFERROR(J160/每日收盤價!E159,0)</f>
        <v>0</v>
      </c>
      <c r="O159">
        <f t="shared" si="5"/>
        <v>0</v>
      </c>
    </row>
    <row r="160" spans="1:15">
      <c r="A160" s="9" t="s">
        <v>163</v>
      </c>
      <c r="B160">
        <f>B159*(1+$CD$2)*(1+每日報酬率!B160)</f>
        <v>0</v>
      </c>
      <c r="C160">
        <f>C159*(1+$CD$2)*(1+每日報酬率!C160)</f>
        <v>0.14270847028256395</v>
      </c>
      <c r="D160">
        <f>D159*(1+$CD$2)*(1+每日報酬率!D160)</f>
        <v>1.3658618606472455</v>
      </c>
      <c r="E160">
        <f>E159*(1+$CD$2)*(1+每日報酬率!E160)</f>
        <v>0.10774282993667558</v>
      </c>
      <c r="F160">
        <f t="shared" si="4"/>
        <v>1.6163131608664851</v>
      </c>
      <c r="K160" s="3">
        <f>IFERROR(G161/每日收盤價!B160,0)</f>
        <v>0</v>
      </c>
      <c r="L160" s="3">
        <f>IFERROR(H161/每日收盤價!C160,0)</f>
        <v>0</v>
      </c>
      <c r="M160" s="3">
        <f>IFERROR(I161/每日收盤價!D160,0)</f>
        <v>0</v>
      </c>
      <c r="N160" s="3">
        <f>IFERROR(J161/每日收盤價!E160,0)</f>
        <v>0</v>
      </c>
      <c r="O160">
        <f t="shared" si="5"/>
        <v>0</v>
      </c>
    </row>
    <row r="161" spans="1:15">
      <c r="A161" s="9" t="s">
        <v>164</v>
      </c>
      <c r="B161">
        <f>B160*(1+$CD$2)*(1+每日報酬率!B161)</f>
        <v>0</v>
      </c>
      <c r="C161">
        <f>C160*(1+$CD$2)*(1+每日報酬率!C161)</f>
        <v>0.14154823881685205</v>
      </c>
      <c r="D161">
        <f>D160*(1+$CD$2)*(1+每日報酬率!D161)</f>
        <v>1.3716494109042252</v>
      </c>
      <c r="E161">
        <f>E160*(1+$CD$2)*(1+每日報酬率!E161)</f>
        <v>0.10643948925195773</v>
      </c>
      <c r="F161">
        <f t="shared" si="4"/>
        <v>1.6196371389730351</v>
      </c>
      <c r="K161" s="3">
        <f>IFERROR(G162/每日收盤價!B161,0)</f>
        <v>0</v>
      </c>
      <c r="L161" s="3">
        <f>IFERROR(H162/每日收盤價!C161,0)</f>
        <v>0</v>
      </c>
      <c r="M161" s="3">
        <f>IFERROR(I162/每日收盤價!D161,0)</f>
        <v>0</v>
      </c>
      <c r="N161" s="3">
        <f>IFERROR(J162/每日收盤價!E161,0)</f>
        <v>0</v>
      </c>
      <c r="O161">
        <f t="shared" si="5"/>
        <v>0</v>
      </c>
    </row>
    <row r="162" spans="1:15">
      <c r="A162" s="9" t="s">
        <v>165</v>
      </c>
      <c r="B162">
        <f>B161*(1+$CD$2)*(1+每日報酬率!B162)</f>
        <v>0</v>
      </c>
      <c r="C162">
        <f>C161*(1+$CD$2)*(1+每日報酬率!C162)</f>
        <v>0.14309521410446793</v>
      </c>
      <c r="D162">
        <f>D161*(1+$CD$2)*(1+每日報酬率!D162)</f>
        <v>1.3600743103902655</v>
      </c>
      <c r="E162">
        <f>E161*(1+$CD$2)*(1+每日報酬率!E162)</f>
        <v>0.10600504235705177</v>
      </c>
      <c r="F162">
        <f t="shared" si="4"/>
        <v>1.6091745668517852</v>
      </c>
      <c r="K162" s="3">
        <f>IFERROR(G163/每日收盤價!B162,0)</f>
        <v>0</v>
      </c>
      <c r="L162" s="3">
        <f>IFERROR(H163/每日收盤價!C162,0)</f>
        <v>0</v>
      </c>
      <c r="M162" s="3">
        <f>IFERROR(I163/每日收盤價!D162,0)</f>
        <v>0</v>
      </c>
      <c r="N162" s="3">
        <f>IFERROR(J163/每日收盤價!E162,0)</f>
        <v>0</v>
      </c>
      <c r="O162">
        <f t="shared" si="5"/>
        <v>0</v>
      </c>
    </row>
    <row r="163" spans="1:15">
      <c r="A163" s="9" t="s">
        <v>166</v>
      </c>
      <c r="B163">
        <f>B162*(1+$CD$2)*(1+每日報酬率!B163)</f>
        <v>0</v>
      </c>
      <c r="C163">
        <f>C162*(1+$CD$2)*(1+每日報酬率!C163)</f>
        <v>0.1388410320635243</v>
      </c>
      <c r="D163">
        <f>D162*(1+$CD$2)*(1+每日報酬率!D163)</f>
        <v>1.2862830446137723</v>
      </c>
      <c r="E163">
        <f>E162*(1+$CD$2)*(1+每日報酬率!E163)</f>
        <v>9.8619445143650619E-2</v>
      </c>
      <c r="F163">
        <f t="shared" si="4"/>
        <v>1.5237435218209472</v>
      </c>
      <c r="K163" s="3">
        <f>IFERROR(G164/每日收盤價!B163,0)</f>
        <v>0</v>
      </c>
      <c r="L163" s="3">
        <f>IFERROR(H164/每日收盤價!C163,0)</f>
        <v>0</v>
      </c>
      <c r="M163" s="3">
        <f>IFERROR(I164/每日收盤價!D163,0)</f>
        <v>0</v>
      </c>
      <c r="N163" s="3">
        <f>IFERROR(J164/每日收盤價!E163,0)</f>
        <v>0</v>
      </c>
      <c r="O163">
        <f t="shared" si="5"/>
        <v>0</v>
      </c>
    </row>
    <row r="164" spans="1:15">
      <c r="A164" s="9" t="s">
        <v>167</v>
      </c>
      <c r="B164">
        <f>B163*(1+$CD$2)*(1+每日報酬率!B164)</f>
        <v>0</v>
      </c>
      <c r="C164">
        <f>C163*(1+$CD$2)*(1+每日報酬率!C164)</f>
        <v>0.13536033766638861</v>
      </c>
      <c r="D164">
        <f>D163*(1+$CD$2)*(1+每日報酬率!D164)</f>
        <v>1.3050925829489568</v>
      </c>
      <c r="E164">
        <f>E163*(1+$CD$2)*(1+每日報酬率!E164)</f>
        <v>9.6447210669120875E-2</v>
      </c>
      <c r="F164">
        <f t="shared" si="4"/>
        <v>1.5369001312844661</v>
      </c>
      <c r="K164" s="3">
        <f>IFERROR(G165/每日收盤價!B164,0)</f>
        <v>0</v>
      </c>
      <c r="L164" s="3">
        <f>IFERROR(H165/每日收盤價!C164,0)</f>
        <v>0</v>
      </c>
      <c r="M164" s="3">
        <f>IFERROR(I165/每日收盤價!D164,0)</f>
        <v>0</v>
      </c>
      <c r="N164" s="3">
        <f>IFERROR(J165/每日收盤價!E164,0)</f>
        <v>0</v>
      </c>
      <c r="O164">
        <f t="shared" si="5"/>
        <v>0</v>
      </c>
    </row>
    <row r="165" spans="1:15">
      <c r="A165" s="9" t="s">
        <v>168</v>
      </c>
      <c r="B165">
        <f>B164*(1+$CD$2)*(1+每日報酬率!B165)</f>
        <v>0</v>
      </c>
      <c r="C165">
        <f>C164*(1+$CD$2)*(1+每日報酬率!C165)</f>
        <v>0.13652056913210053</v>
      </c>
      <c r="D165">
        <f>D164*(1+$CD$2)*(1+每日報酬率!D165)</f>
        <v>1.3282427839768762</v>
      </c>
      <c r="E165">
        <f>E164*(1+$CD$2)*(1+每日報酬率!E165)</f>
        <v>9.9488338933462511E-2</v>
      </c>
      <c r="F165">
        <f t="shared" si="4"/>
        <v>1.5642516920424392</v>
      </c>
      <c r="K165" s="3">
        <f>IFERROR(G166/每日收盤價!B165,0)</f>
        <v>0</v>
      </c>
      <c r="L165" s="3">
        <f>IFERROR(H166/每日收盤價!C165,0)</f>
        <v>0</v>
      </c>
      <c r="M165" s="3">
        <f>IFERROR(I166/每日收盤價!D165,0)</f>
        <v>0</v>
      </c>
      <c r="N165" s="3">
        <f>IFERROR(J166/每日收盤價!E165,0)</f>
        <v>0</v>
      </c>
      <c r="O165">
        <f t="shared" si="5"/>
        <v>0</v>
      </c>
    </row>
    <row r="166" spans="1:15">
      <c r="A166" s="9" t="s">
        <v>169</v>
      </c>
      <c r="B166">
        <f>B165*(1+$CD$2)*(1+每日報酬率!B166)</f>
        <v>0</v>
      </c>
      <c r="C166">
        <f>C165*(1+$CD$2)*(1+每日報酬率!C166)</f>
        <v>0.13303987473496481</v>
      </c>
      <c r="D166">
        <f>D165*(1+$CD$2)*(1+每日報酬率!D166)</f>
        <v>1.3007519202562219</v>
      </c>
      <c r="E166">
        <f>E165*(1+$CD$2)*(1+每日報酬率!E166)</f>
        <v>9.6012763774214915E-2</v>
      </c>
      <c r="F166">
        <f t="shared" si="4"/>
        <v>1.5298045587654017</v>
      </c>
      <c r="K166" s="3">
        <f>IFERROR(G167/每日收盤價!B166,0)</f>
        <v>0</v>
      </c>
      <c r="L166" s="3">
        <f>IFERROR(H167/每日收盤價!C166,0)</f>
        <v>0</v>
      </c>
      <c r="M166" s="3">
        <f>IFERROR(I167/每日收盤價!D166,0)</f>
        <v>0</v>
      </c>
      <c r="N166" s="3">
        <f>IFERROR(J167/每日收盤價!E166,0)</f>
        <v>0</v>
      </c>
      <c r="O166">
        <f t="shared" si="5"/>
        <v>0</v>
      </c>
    </row>
    <row r="167" spans="1:15">
      <c r="A167" s="9" t="s">
        <v>170</v>
      </c>
      <c r="B167">
        <f>B166*(1+$CD$2)*(1+每日報酬率!B167)</f>
        <v>0</v>
      </c>
      <c r="C167">
        <f>C166*(1+$CD$2)*(1+每日報酬率!C167)</f>
        <v>0.13071941180354099</v>
      </c>
      <c r="D167">
        <f>D166*(1+$CD$2)*(1+每日報酬率!D167)</f>
        <v>1.3079863580774467</v>
      </c>
      <c r="E167">
        <f>E166*(1+$CD$2)*(1+每日報酬率!E167)</f>
        <v>9.8184998248744659E-2</v>
      </c>
      <c r="F167">
        <f t="shared" si="4"/>
        <v>1.5368907681297324</v>
      </c>
      <c r="K167" s="3">
        <f>IFERROR(G168/每日收盤價!B167,0)</f>
        <v>0</v>
      </c>
      <c r="L167" s="3">
        <f>IFERROR(H168/每日收盤價!C167,0)</f>
        <v>0</v>
      </c>
      <c r="M167" s="3">
        <f>IFERROR(I168/每日收盤價!D167,0)</f>
        <v>0</v>
      </c>
      <c r="N167" s="3">
        <f>IFERROR(J168/每日收盤價!E167,0)</f>
        <v>0</v>
      </c>
      <c r="O167">
        <f t="shared" si="5"/>
        <v>0</v>
      </c>
    </row>
    <row r="168" spans="1:15">
      <c r="A168" s="9" t="s">
        <v>171</v>
      </c>
      <c r="B168">
        <f>B167*(1+$CD$2)*(1+每日報酬率!B168)</f>
        <v>0</v>
      </c>
      <c r="C168">
        <f>C167*(1+$CD$2)*(1+每日報酬率!C168)</f>
        <v>0.13110615562544495</v>
      </c>
      <c r="D168">
        <f>D167*(1+$CD$2)*(1+每日報酬率!D168)</f>
        <v>1.3036456953847118</v>
      </c>
      <c r="E168">
        <f>E167*(1+$CD$2)*(1+每日報酬率!E168)</f>
        <v>9.6447210669120861E-2</v>
      </c>
      <c r="F168">
        <f t="shared" si="4"/>
        <v>1.5311990616792774</v>
      </c>
      <c r="K168" s="3">
        <f>IFERROR(G169/每日收盤價!B168,0)</f>
        <v>0</v>
      </c>
      <c r="L168" s="3">
        <f>IFERROR(H169/每日收盤價!C168,0)</f>
        <v>0</v>
      </c>
      <c r="M168" s="3">
        <f>IFERROR(I169/每日收盤價!D168,0)</f>
        <v>4.4396650388457276E-3</v>
      </c>
      <c r="N168" s="3">
        <f>IFERROR(J169/每日收盤價!E168,0)</f>
        <v>0</v>
      </c>
      <c r="O168">
        <f t="shared" si="5"/>
        <v>4.4396650388457276E-3</v>
      </c>
    </row>
    <row r="169" spans="1:15">
      <c r="A169" s="9" t="s">
        <v>172</v>
      </c>
      <c r="B169">
        <f>B168*(1+$CD$2)*(1+每日報酬率!B169)</f>
        <v>0</v>
      </c>
      <c r="C169">
        <f>C168*(1+$CD$2)*(1+每日報酬率!C169)</f>
        <v>0.13729405677590842</v>
      </c>
      <c r="D169">
        <f>D168*(1+$CD$2)*(1+每日報酬率!D169)</f>
        <v>1.3600743103902655</v>
      </c>
      <c r="E169">
        <f>E168*(1+$CD$2)*(1+每日報酬率!E169)</f>
        <v>0.10035723272327442</v>
      </c>
      <c r="F169">
        <f t="shared" si="4"/>
        <v>1.5977255998894484</v>
      </c>
      <c r="I169" s="3">
        <v>4.0001382000000003</v>
      </c>
      <c r="K169" s="3">
        <f>IFERROR(G170/每日收盤價!B169,0)</f>
        <v>0</v>
      </c>
      <c r="L169" s="3">
        <f>IFERROR(H170/每日收盤價!C169,0)</f>
        <v>0</v>
      </c>
      <c r="M169" s="3">
        <f>IFERROR(I170/每日收盤價!D169,0)</f>
        <v>0</v>
      </c>
      <c r="N169" s="3">
        <f>IFERROR(J170/每日收盤價!E169,0)</f>
        <v>0</v>
      </c>
      <c r="O169">
        <f t="shared" si="5"/>
        <v>0</v>
      </c>
    </row>
    <row r="170" spans="1:15">
      <c r="A170" s="9" t="s">
        <v>173</v>
      </c>
      <c r="B170">
        <f>B169*(1+$CD$2)*(1+每日報酬率!B170)</f>
        <v>0</v>
      </c>
      <c r="C170">
        <f>C169*(1+$CD$2)*(1+每日報酬率!C170)</f>
        <v>0.13613382531019652</v>
      </c>
      <c r="D170">
        <f>D169*(1+$CD$2)*(1+每日報酬率!D170)</f>
        <v>1.3702025233399802</v>
      </c>
      <c r="E170">
        <f>E169*(1+$CD$2)*(1+每日報酬率!E170)</f>
        <v>9.7750551353838713E-2</v>
      </c>
      <c r="F170">
        <f t="shared" si="4"/>
        <v>1.6040869000040154</v>
      </c>
      <c r="K170" s="3">
        <f>IFERROR(G171/每日收盤價!B170,0)</f>
        <v>0</v>
      </c>
      <c r="L170" s="3">
        <f>IFERROR(H171/每日收盤價!C170,0)</f>
        <v>0</v>
      </c>
      <c r="M170" s="3">
        <f>IFERROR(I171/每日收盤價!D170,0)</f>
        <v>0</v>
      </c>
      <c r="N170" s="3">
        <f>IFERROR(J171/每日收盤價!E170,0)</f>
        <v>0</v>
      </c>
      <c r="O170">
        <f t="shared" si="5"/>
        <v>0</v>
      </c>
    </row>
    <row r="171" spans="1:15">
      <c r="A171" s="9" t="s">
        <v>174</v>
      </c>
      <c r="B171">
        <f>B170*(1+$CD$2)*(1+每日報酬率!B171)</f>
        <v>0</v>
      </c>
      <c r="C171">
        <f>C170*(1+$CD$2)*(1+每日報酬率!C171)</f>
        <v>0.1400012635292362</v>
      </c>
      <c r="D171">
        <f>D170*(1+$CD$2)*(1+每日報酬率!D171)</f>
        <v>1.3702025233399802</v>
      </c>
      <c r="E171">
        <f>E170*(1+$CD$2)*(1+每日報酬率!E171)</f>
        <v>9.8184998248744659E-2</v>
      </c>
      <c r="F171">
        <f t="shared" si="4"/>
        <v>1.608388785117961</v>
      </c>
      <c r="K171" s="3">
        <f>IFERROR(G172/每日收盤價!B171,0)</f>
        <v>0</v>
      </c>
      <c r="L171" s="3">
        <f>IFERROR(H172/每日收盤價!C171,0)</f>
        <v>0</v>
      </c>
      <c r="M171" s="3">
        <f>IFERROR(I172/每日收盤價!D171,0)</f>
        <v>0</v>
      </c>
      <c r="N171" s="3">
        <f>IFERROR(J172/每日收盤價!E171,0)</f>
        <v>0</v>
      </c>
      <c r="O171">
        <f t="shared" si="5"/>
        <v>0</v>
      </c>
    </row>
    <row r="172" spans="1:15">
      <c r="A172" s="9" t="s">
        <v>175</v>
      </c>
      <c r="B172">
        <f>B171*(1+$CD$2)*(1+每日報酬率!B172)</f>
        <v>0</v>
      </c>
      <c r="C172">
        <f>C171*(1+$CD$2)*(1+每日報酬率!C172)</f>
        <v>0.13458685002258064</v>
      </c>
      <c r="D172">
        <f>D171*(1+$CD$2)*(1+每日報酬率!D172)</f>
        <v>1.3615211979545103</v>
      </c>
      <c r="E172">
        <f>E171*(1+$CD$2)*(1+每日報酬率!E172)</f>
        <v>9.6012763774214901E-2</v>
      </c>
      <c r="F172">
        <f t="shared" si="4"/>
        <v>1.5921208117513059</v>
      </c>
      <c r="K172" s="3">
        <f>IFERROR(G173/每日收盤價!B172,0)</f>
        <v>0</v>
      </c>
      <c r="L172" s="3">
        <f>IFERROR(H173/每日收盤價!C172,0)</f>
        <v>0</v>
      </c>
      <c r="M172" s="3">
        <f>IFERROR(I173/每日收盤價!D172,0)</f>
        <v>0</v>
      </c>
      <c r="N172" s="3">
        <f>IFERROR(J173/每日收盤價!E172,0)</f>
        <v>0</v>
      </c>
      <c r="O172">
        <f t="shared" si="5"/>
        <v>0</v>
      </c>
    </row>
    <row r="173" spans="1:15">
      <c r="A173" s="9" t="s">
        <v>176</v>
      </c>
      <c r="B173">
        <f>B172*(1+$CD$2)*(1+每日報酬率!B173)</f>
        <v>0</v>
      </c>
      <c r="C173">
        <f>C172*(1+$CD$2)*(1+每日報酬率!C173)</f>
        <v>0.13652056913210048</v>
      </c>
      <c r="D173">
        <f>D172*(1+$CD$2)*(1+每日報酬率!D173)</f>
        <v>1.3890120616751647</v>
      </c>
      <c r="E173">
        <f>E172*(1+$CD$2)*(1+每日報酬率!E173)</f>
        <v>9.731610445893274E-2</v>
      </c>
      <c r="F173">
        <f t="shared" si="4"/>
        <v>1.622848735266198</v>
      </c>
      <c r="K173" s="3">
        <f>IFERROR(G174/每日收盤價!B173,0)</f>
        <v>0</v>
      </c>
      <c r="L173" s="3">
        <f>IFERROR(H174/每日收盤價!C173,0)</f>
        <v>0</v>
      </c>
      <c r="M173" s="3">
        <f>IFERROR(I174/每日收盤價!D173,0)</f>
        <v>0</v>
      </c>
      <c r="N173" s="3">
        <f>IFERROR(J174/每日收盤價!E173,0)</f>
        <v>0</v>
      </c>
      <c r="O173">
        <f t="shared" si="5"/>
        <v>0</v>
      </c>
    </row>
    <row r="174" spans="1:15">
      <c r="A174" s="9" t="s">
        <v>177</v>
      </c>
      <c r="B174">
        <f>B173*(1+$CD$2)*(1+每日報酬率!B174)</f>
        <v>0</v>
      </c>
      <c r="C174">
        <f>C173*(1+$CD$2)*(1+每日報酬率!C174)</f>
        <v>0.13690731295400443</v>
      </c>
      <c r="D174">
        <f>D173*(1+$CD$2)*(1+每日報酬率!D174)</f>
        <v>1.407821600010349</v>
      </c>
      <c r="E174">
        <f>E173*(1+$CD$2)*(1+每日報酬率!E174)</f>
        <v>9.7750551353838699E-2</v>
      </c>
      <c r="F174">
        <f t="shared" si="4"/>
        <v>1.6424794643181921</v>
      </c>
      <c r="K174" s="3">
        <f>IFERROR(G175/每日收盤價!B174,0)</f>
        <v>0</v>
      </c>
      <c r="L174" s="3">
        <f>IFERROR(H175/每日收盤價!C174,0)</f>
        <v>0</v>
      </c>
      <c r="M174" s="3">
        <f>IFERROR(I175/每日收盤價!D174,0)</f>
        <v>0</v>
      </c>
      <c r="N174" s="3">
        <f>IFERROR(J175/每日收盤價!E174,0)</f>
        <v>0</v>
      </c>
      <c r="O174">
        <f t="shared" si="5"/>
        <v>0</v>
      </c>
    </row>
    <row r="175" spans="1:15">
      <c r="A175" s="9" t="s">
        <v>178</v>
      </c>
      <c r="B175">
        <f>B174*(1+$CD$2)*(1+每日報酬率!B175)</f>
        <v>0</v>
      </c>
      <c r="C175">
        <f>C174*(1+$CD$2)*(1+每日報酬率!C175)</f>
        <v>0.13922777588542823</v>
      </c>
      <c r="D175">
        <f>D174*(1+$CD$2)*(1+每日報酬率!D175)</f>
        <v>1.4136091502673289</v>
      </c>
      <c r="E175">
        <f>E174*(1+$CD$2)*(1+每日報酬率!E175)</f>
        <v>9.9488338933462511E-2</v>
      </c>
      <c r="F175">
        <f t="shared" si="4"/>
        <v>1.6523252650862197</v>
      </c>
      <c r="K175" s="3">
        <f>IFERROR(G176/每日收盤價!B175,0)</f>
        <v>0</v>
      </c>
      <c r="L175" s="3">
        <f>IFERROR(H176/每日收盤價!C175,0)</f>
        <v>0</v>
      </c>
      <c r="M175" s="3">
        <f>IFERROR(I176/每日收盤價!D175,0)</f>
        <v>0</v>
      </c>
      <c r="N175" s="3">
        <f>IFERROR(J176/每日收盤價!E175,0)</f>
        <v>0</v>
      </c>
      <c r="O175">
        <f t="shared" si="5"/>
        <v>0</v>
      </c>
    </row>
    <row r="176" spans="1:15">
      <c r="A176" s="9" t="s">
        <v>179</v>
      </c>
      <c r="B176">
        <f>B175*(1+$CD$2)*(1+每日報酬率!B176)</f>
        <v>0</v>
      </c>
      <c r="C176">
        <f>C175*(1+$CD$2)*(1+每日報酬率!C176)</f>
        <v>0.14154823881685202</v>
      </c>
      <c r="D176">
        <f>D175*(1+$CD$2)*(1+每日報酬率!D176)</f>
        <v>1.4280780259097785</v>
      </c>
      <c r="E176">
        <f>E175*(1+$CD$2)*(1+每日報酬率!E176)</f>
        <v>0.10383280788252201</v>
      </c>
      <c r="F176">
        <f t="shared" si="4"/>
        <v>1.6734590726091525</v>
      </c>
      <c r="K176" s="3">
        <f>IFERROR(G177/每日收盤價!B176,0)</f>
        <v>0</v>
      </c>
      <c r="L176" s="3">
        <f>IFERROR(H177/每日收盤價!C176,0)</f>
        <v>0</v>
      </c>
      <c r="M176" s="3">
        <f>IFERROR(I177/每日收盤價!D176,0)</f>
        <v>0</v>
      </c>
      <c r="N176" s="3">
        <f>IFERROR(J177/每日收盤價!E176,0)</f>
        <v>0</v>
      </c>
      <c r="O176">
        <f t="shared" si="5"/>
        <v>0</v>
      </c>
    </row>
    <row r="177" spans="1:15">
      <c r="A177" s="9" t="s">
        <v>180</v>
      </c>
      <c r="B177">
        <f>B176*(1+$CD$2)*(1+每日報酬率!B177)</f>
        <v>0</v>
      </c>
      <c r="C177">
        <f>C176*(1+$CD$2)*(1+每日報酬率!C177)</f>
        <v>0.14580242085779566</v>
      </c>
      <c r="D177">
        <f>D176*(1+$CD$2)*(1+每日報酬率!D177)</f>
        <v>1.454122002066188</v>
      </c>
      <c r="E177">
        <f>E176*(1+$CD$2)*(1+每日報酬率!E177)</f>
        <v>0.1064394892519577</v>
      </c>
      <c r="F177">
        <f t="shared" si="4"/>
        <v>1.7063639121759415</v>
      </c>
      <c r="K177" s="3">
        <f>IFERROR(G178/每日收盤價!B177,0)</f>
        <v>0</v>
      </c>
      <c r="L177" s="3">
        <f>IFERROR(H178/每日收盤價!C177,0)</f>
        <v>0</v>
      </c>
      <c r="M177" s="3">
        <f>IFERROR(I178/每日收盤價!D177,0)</f>
        <v>0</v>
      </c>
      <c r="N177" s="3">
        <f>IFERROR(J178/每日收盤價!E177,0)</f>
        <v>0</v>
      </c>
      <c r="O177">
        <f t="shared" si="5"/>
        <v>0</v>
      </c>
    </row>
    <row r="178" spans="1:15">
      <c r="A178" s="9" t="s">
        <v>181</v>
      </c>
      <c r="B178">
        <f>B177*(1+$CD$2)*(1+每日報酬率!B178)</f>
        <v>0</v>
      </c>
      <c r="C178">
        <f>C177*(1+$CD$2)*(1+每日報酬率!C178)</f>
        <v>0.1465759085016036</v>
      </c>
      <c r="D178">
        <f>D177*(1+$CD$2)*(1+每日報酬率!D178)</f>
        <v>1.4685908777086376</v>
      </c>
      <c r="E178">
        <f>E177*(1+$CD$2)*(1+每日報酬率!E178)</f>
        <v>0.11034951130611124</v>
      </c>
      <c r="F178">
        <f t="shared" si="4"/>
        <v>1.7255162975163525</v>
      </c>
      <c r="K178" s="3">
        <f>IFERROR(G179/每日收盤價!B178,0)</f>
        <v>0</v>
      </c>
      <c r="L178" s="3">
        <f>IFERROR(H179/每日收盤價!C178,0)</f>
        <v>0</v>
      </c>
      <c r="M178" s="3">
        <f>IFERROR(I179/每日收盤價!D178,0)</f>
        <v>0</v>
      </c>
      <c r="N178" s="3">
        <f>IFERROR(J179/每日收盤價!E178,0)</f>
        <v>0</v>
      </c>
      <c r="O178">
        <f t="shared" si="5"/>
        <v>0</v>
      </c>
    </row>
    <row r="179" spans="1:15">
      <c r="A179" s="9" t="s">
        <v>182</v>
      </c>
      <c r="B179">
        <f>B178*(1+$CD$2)*(1+每日報酬率!B179)</f>
        <v>0</v>
      </c>
      <c r="C179">
        <f>C178*(1+$CD$2)*(1+每日報酬率!C179)</f>
        <v>0.14773613996731549</v>
      </c>
      <c r="D179">
        <f>D178*(1+$CD$2)*(1+每日報酬率!D179)</f>
        <v>1.4468875642449632</v>
      </c>
      <c r="E179">
        <f>E178*(1+$CD$2)*(1+每日報酬率!E179)</f>
        <v>0.10948061751629935</v>
      </c>
      <c r="F179">
        <f t="shared" si="4"/>
        <v>1.7041043217285781</v>
      </c>
      <c r="K179" s="3">
        <f>IFERROR(G180/每日收盤價!B179,0)</f>
        <v>0</v>
      </c>
      <c r="L179" s="3">
        <f>IFERROR(H180/每日收盤價!C179,0)</f>
        <v>0</v>
      </c>
      <c r="M179" s="3">
        <f>IFERROR(I180/每日收盤價!D179,0)</f>
        <v>0</v>
      </c>
      <c r="N179" s="3">
        <f>IFERROR(J180/每日收盤價!E179,0)</f>
        <v>0</v>
      </c>
      <c r="O179">
        <f t="shared" si="5"/>
        <v>0</v>
      </c>
    </row>
    <row r="180" spans="1:15">
      <c r="A180" s="9" t="s">
        <v>183</v>
      </c>
      <c r="B180">
        <f>B179*(1+$CD$2)*(1+每日報酬率!B180)</f>
        <v>0</v>
      </c>
      <c r="C180">
        <f>C179*(1+$CD$2)*(1+每日報酬率!C180)</f>
        <v>0.14502893321398772</v>
      </c>
      <c r="D180">
        <f>D179*(1+$CD$2)*(1+每日報酬率!D180)</f>
        <v>1.3846713989824297</v>
      </c>
      <c r="E180">
        <f>E179*(1+$CD$2)*(1+每日報酬率!E180)</f>
        <v>0.1020950203028982</v>
      </c>
      <c r="F180">
        <f t="shared" si="4"/>
        <v>1.6317953524993158</v>
      </c>
      <c r="K180" s="3">
        <f>IFERROR(G181/每日收盤價!B180,0)</f>
        <v>0</v>
      </c>
      <c r="L180" s="3">
        <f>IFERROR(H181/每日收盤價!C180,0)</f>
        <v>0</v>
      </c>
      <c r="M180" s="3">
        <f>IFERROR(I181/每日收盤價!D180,0)</f>
        <v>0</v>
      </c>
      <c r="N180" s="3">
        <f>IFERROR(J181/每日收盤價!E180,0)</f>
        <v>0</v>
      </c>
      <c r="O180">
        <f t="shared" si="5"/>
        <v>0</v>
      </c>
    </row>
    <row r="181" spans="1:15">
      <c r="A181" s="9" t="s">
        <v>184</v>
      </c>
      <c r="B181">
        <f>B180*(1+$CD$2)*(1+每日報酬率!B181)</f>
        <v>0</v>
      </c>
      <c r="C181">
        <f>C180*(1+$CD$2)*(1+每日報酬率!C181)</f>
        <v>0.14464218939208373</v>
      </c>
      <c r="D181">
        <f>D180*(1+$CD$2)*(1+每日報酬率!D181)</f>
        <v>1.4063747124461041</v>
      </c>
      <c r="E181">
        <f>E180*(1+$CD$2)*(1+每日報酬率!E181)</f>
        <v>0.10513614856723984</v>
      </c>
      <c r="F181">
        <f t="shared" si="4"/>
        <v>1.6561530504054276</v>
      </c>
      <c r="K181" s="3">
        <f>IFERROR(G182/每日收盤價!B181,0)</f>
        <v>0</v>
      </c>
      <c r="L181" s="3">
        <f>IFERROR(H182/每日收盤價!C181,0)</f>
        <v>0</v>
      </c>
      <c r="M181" s="3">
        <f>IFERROR(I182/每日收盤價!D181,0)</f>
        <v>0</v>
      </c>
      <c r="N181" s="3">
        <f>IFERROR(J182/每日收盤價!E181,0)</f>
        <v>0</v>
      </c>
      <c r="O181">
        <f t="shared" si="5"/>
        <v>0</v>
      </c>
    </row>
    <row r="182" spans="1:15">
      <c r="A182" s="9" t="s">
        <v>185</v>
      </c>
      <c r="B182">
        <f>B181*(1+$CD$2)*(1+每日報酬率!B182)</f>
        <v>0</v>
      </c>
      <c r="C182">
        <f>C181*(1+$CD$2)*(1+每日報酬率!C182)</f>
        <v>0.15005660289873926</v>
      </c>
      <c r="D182">
        <f>D181*(1+$CD$2)*(1+每日報酬率!D182)</f>
        <v>1.4136091502673289</v>
      </c>
      <c r="E182">
        <f>E181*(1+$CD$2)*(1+每日報酬率!E182)</f>
        <v>0.10687393614686364</v>
      </c>
      <c r="F182">
        <f t="shared" si="4"/>
        <v>1.6705396893129318</v>
      </c>
      <c r="K182" s="3">
        <f>IFERROR(G183/每日收盤價!B182,0)</f>
        <v>0</v>
      </c>
      <c r="L182" s="3">
        <f>IFERROR(H183/每日收盤價!C182,0)</f>
        <v>0</v>
      </c>
      <c r="M182" s="3">
        <f>IFERROR(I183/每日收盤價!D182,0)</f>
        <v>0</v>
      </c>
      <c r="N182" s="3">
        <f>IFERROR(J183/每日收盤價!E182,0)</f>
        <v>0</v>
      </c>
      <c r="O182">
        <f t="shared" si="5"/>
        <v>0</v>
      </c>
    </row>
    <row r="183" spans="1:15">
      <c r="A183" s="9" t="s">
        <v>186</v>
      </c>
      <c r="B183">
        <f>B182*(1+$CD$2)*(1+每日報酬率!B183)</f>
        <v>0</v>
      </c>
      <c r="C183">
        <f>C182*(1+$CD$2)*(1+每日報酬率!C183)</f>
        <v>0.15276380965206701</v>
      </c>
      <c r="D183">
        <f>D182*(1+$CD$2)*(1+每日報酬率!D183)</f>
        <v>1.454122002066188</v>
      </c>
      <c r="E183">
        <f>E182*(1+$CD$2)*(1+每日報酬率!E183)</f>
        <v>0.10861172372648745</v>
      </c>
      <c r="F183">
        <f t="shared" si="4"/>
        <v>1.7154975354447424</v>
      </c>
      <c r="K183" s="3">
        <f>IFERROR(G184/每日收盤價!B183,0)</f>
        <v>0</v>
      </c>
      <c r="L183" s="3">
        <f>IFERROR(H184/每日收盤價!C183,0)</f>
        <v>0</v>
      </c>
      <c r="M183" s="3">
        <f>IFERROR(I184/每日收盤價!D183,0)</f>
        <v>0</v>
      </c>
      <c r="N183" s="3">
        <f>IFERROR(J184/每日收盤價!E183,0)</f>
        <v>0</v>
      </c>
      <c r="O183">
        <f t="shared" si="5"/>
        <v>0</v>
      </c>
    </row>
    <row r="184" spans="1:15">
      <c r="A184" s="9" t="s">
        <v>187</v>
      </c>
      <c r="B184">
        <f>B183*(1+$CD$2)*(1+每日報酬率!B184)</f>
        <v>0</v>
      </c>
      <c r="C184">
        <f>C183*(1+$CD$2)*(1+每日報酬率!C184)</f>
        <v>0.15005660289873923</v>
      </c>
      <c r="D184">
        <f>D183*(1+$CD$2)*(1+每日報酬率!D184)</f>
        <v>1.461356439887413</v>
      </c>
      <c r="E184">
        <f>E183*(1+$CD$2)*(1+每日報酬率!E184)</f>
        <v>0.1064394892519577</v>
      </c>
      <c r="F184">
        <f t="shared" si="4"/>
        <v>1.7178525320381099</v>
      </c>
      <c r="K184" s="3">
        <f>IFERROR(G185/每日收盤價!B184,0)</f>
        <v>0</v>
      </c>
      <c r="L184" s="3">
        <f>IFERROR(H185/每日收盤價!C184,0)</f>
        <v>0</v>
      </c>
      <c r="M184" s="3">
        <f>IFERROR(I185/每日收盤價!D184,0)</f>
        <v>0</v>
      </c>
      <c r="N184" s="3">
        <f>IFERROR(J185/每日收盤價!E184,0)</f>
        <v>0</v>
      </c>
      <c r="O184">
        <f t="shared" si="5"/>
        <v>0</v>
      </c>
    </row>
    <row r="185" spans="1:15">
      <c r="A185" s="9" t="s">
        <v>188</v>
      </c>
      <c r="B185">
        <f>B184*(1+$CD$2)*(1+每日報酬率!B185)</f>
        <v>0</v>
      </c>
      <c r="C185">
        <f>C184*(1+$CD$2)*(1+每日報酬率!C185)</f>
        <v>0.15392404111777888</v>
      </c>
      <c r="D185">
        <f>D184*(1+$CD$2)*(1+每日報酬率!D185)</f>
        <v>1.4758253155298626</v>
      </c>
      <c r="E185">
        <f>E184*(1+$CD$2)*(1+每日報酬率!E185)</f>
        <v>0.1081772768315815</v>
      </c>
      <c r="F185">
        <f t="shared" si="4"/>
        <v>1.7379266334792229</v>
      </c>
      <c r="K185" s="3">
        <f>IFERROR(G186/每日收盤價!B185,0)</f>
        <v>0</v>
      </c>
      <c r="L185" s="3">
        <f>IFERROR(H186/每日收盤價!C185,0)</f>
        <v>0</v>
      </c>
      <c r="M185" s="3">
        <f>IFERROR(I186/每日收盤價!D185,0)</f>
        <v>0</v>
      </c>
      <c r="N185" s="3">
        <f>IFERROR(J186/每日收盤價!E185,0)</f>
        <v>0</v>
      </c>
      <c r="O185">
        <f t="shared" si="5"/>
        <v>0</v>
      </c>
    </row>
    <row r="186" spans="1:15">
      <c r="A186" s="9" t="s">
        <v>189</v>
      </c>
      <c r="B186">
        <f>B185*(1+$CD$2)*(1+每日報酬率!B186)</f>
        <v>0</v>
      </c>
      <c r="C186">
        <f>C185*(1+$CD$2)*(1+每日報酬率!C186)</f>
        <v>0.15469752876158679</v>
      </c>
      <c r="D186">
        <f>D185*(1+$CD$2)*(1+每日報酬率!D186)</f>
        <v>1.5119975046359866</v>
      </c>
      <c r="E186">
        <f>E185*(1+$CD$2)*(1+每日報酬率!E186)</f>
        <v>0.11295619267554696</v>
      </c>
      <c r="F186">
        <f t="shared" si="4"/>
        <v>1.7796512260731203</v>
      </c>
      <c r="K186" s="3">
        <f>IFERROR(G187/每日收盤價!B186,0)</f>
        <v>0</v>
      </c>
      <c r="L186" s="3">
        <f>IFERROR(H187/每日收盤價!C186,0)</f>
        <v>0</v>
      </c>
      <c r="M186" s="3">
        <f>IFERROR(I187/每日收盤價!D186,0)</f>
        <v>0</v>
      </c>
      <c r="N186" s="3">
        <f>IFERROR(J187/每日收盤價!E186,0)</f>
        <v>0</v>
      </c>
      <c r="O186">
        <f t="shared" si="5"/>
        <v>0</v>
      </c>
    </row>
    <row r="187" spans="1:15">
      <c r="A187" s="9" t="s">
        <v>190</v>
      </c>
      <c r="B187">
        <f>B186*(1+$CD$2)*(1+每日報酬率!B187)</f>
        <v>0</v>
      </c>
      <c r="C187">
        <f>C186*(1+$CD$2)*(1+每日報酬率!C187)</f>
        <v>0.15392404111777885</v>
      </c>
      <c r="D187">
        <f>D186*(1+$CD$2)*(1+每日報酬率!D187)</f>
        <v>1.5119975046359866</v>
      </c>
      <c r="E187">
        <f>E186*(1+$CD$2)*(1+每日報酬率!E187)</f>
        <v>0.11208729888573507</v>
      </c>
      <c r="F187">
        <f t="shared" si="4"/>
        <v>1.7780088446395006</v>
      </c>
      <c r="K187" s="3">
        <f>IFERROR(G188/每日收盤價!B187,0)</f>
        <v>0</v>
      </c>
      <c r="L187" s="3">
        <f>IFERROR(H188/每日收盤價!C187,0)</f>
        <v>0</v>
      </c>
      <c r="M187" s="3">
        <f>IFERROR(I188/每日收盤價!D187,0)</f>
        <v>0</v>
      </c>
      <c r="N187" s="3">
        <f>IFERROR(J188/每日收盤價!E187,0)</f>
        <v>0</v>
      </c>
      <c r="O187">
        <f t="shared" si="5"/>
        <v>0</v>
      </c>
    </row>
    <row r="188" spans="1:15">
      <c r="A188" s="9" t="s">
        <v>191</v>
      </c>
      <c r="B188">
        <f>B187*(1+$CD$2)*(1+每日報酬率!B188)</f>
        <v>0</v>
      </c>
      <c r="C188">
        <f>C187*(1+$CD$2)*(1+每日報酬率!C188)</f>
        <v>0.16011194226824232</v>
      </c>
      <c r="D188">
        <f>D187*(1+$CD$2)*(1+每日報酬率!D188)</f>
        <v>1.5481696937421108</v>
      </c>
      <c r="E188">
        <f>E187*(1+$CD$2)*(1+每日報酬率!E188)</f>
        <v>0.11295619267554698</v>
      </c>
      <c r="F188">
        <f t="shared" si="4"/>
        <v>1.8212378286859001</v>
      </c>
      <c r="K188" s="3">
        <f>IFERROR(G189/每日收盤價!B188,0)</f>
        <v>0</v>
      </c>
      <c r="L188" s="3">
        <f>IFERROR(H189/每日收盤價!C188,0)</f>
        <v>0</v>
      </c>
      <c r="M188" s="3">
        <f>IFERROR(I189/每日收盤價!D188,0)</f>
        <v>0</v>
      </c>
      <c r="N188" s="3">
        <f>IFERROR(J189/每日收盤價!E188,0)</f>
        <v>0</v>
      </c>
      <c r="O188">
        <f t="shared" si="5"/>
        <v>0</v>
      </c>
    </row>
    <row r="189" spans="1:15">
      <c r="A189" s="9" t="s">
        <v>192</v>
      </c>
      <c r="B189">
        <f>B188*(1+$CD$2)*(1+每日報酬率!B189)</f>
        <v>0</v>
      </c>
      <c r="C189">
        <f>C188*(1+$CD$2)*(1+每日報酬率!C189)</f>
        <v>0.15856496698062644</v>
      </c>
      <c r="D189">
        <f>D188*(1+$CD$2)*(1+每日報酬率!D189)</f>
        <v>1.5119975046359868</v>
      </c>
      <c r="E189">
        <f>E188*(1+$CD$2)*(1+每日報酬率!E189)</f>
        <v>0.11078395820101722</v>
      </c>
      <c r="F189">
        <f t="shared" si="4"/>
        <v>1.7813464298176305</v>
      </c>
      <c r="K189" s="3">
        <f>IFERROR(G190/每日收盤價!B189,0)</f>
        <v>0</v>
      </c>
      <c r="L189" s="3">
        <f>IFERROR(H190/每日收盤價!C189,0)</f>
        <v>0</v>
      </c>
      <c r="M189" s="3">
        <f>IFERROR(I190/每日收盤價!D189,0)</f>
        <v>0</v>
      </c>
      <c r="N189" s="3">
        <f>IFERROR(J190/每日收盤價!E189,0)</f>
        <v>0</v>
      </c>
      <c r="O189">
        <f t="shared" si="5"/>
        <v>0</v>
      </c>
    </row>
    <row r="190" spans="1:15">
      <c r="A190" s="9" t="s">
        <v>193</v>
      </c>
      <c r="B190">
        <f>B189*(1+$CD$2)*(1+每日報酬率!B190)</f>
        <v>0</v>
      </c>
      <c r="C190">
        <f>C189*(1+$CD$2)*(1+每日報酬率!C190)</f>
        <v>0.16127217373395422</v>
      </c>
      <c r="D190">
        <f>D189*(1+$CD$2)*(1+每日報酬率!D190)</f>
        <v>1.497528628993537</v>
      </c>
      <c r="E190">
        <f>E189*(1+$CD$2)*(1+每日報酬率!E190)</f>
        <v>0.11078395820101722</v>
      </c>
      <c r="F190">
        <f t="shared" si="4"/>
        <v>1.7695847609285085</v>
      </c>
      <c r="K190" s="3">
        <f>IFERROR(G191/每日收盤價!B190,0)</f>
        <v>0</v>
      </c>
      <c r="L190" s="3">
        <f>IFERROR(H191/每日收盤價!C190,0)</f>
        <v>0</v>
      </c>
      <c r="M190" s="3">
        <f>IFERROR(I191/每日收盤價!D190,0)</f>
        <v>0</v>
      </c>
      <c r="N190" s="3">
        <f>IFERROR(J191/每日收盤價!E190,0)</f>
        <v>0</v>
      </c>
      <c r="O190">
        <f t="shared" si="5"/>
        <v>0</v>
      </c>
    </row>
    <row r="191" spans="1:15">
      <c r="A191" s="9" t="s">
        <v>194</v>
      </c>
      <c r="B191">
        <f>B190*(1+$CD$2)*(1+每日報酬率!B191)</f>
        <v>0</v>
      </c>
      <c r="C191">
        <f>C190*(1+$CD$2)*(1+每日報酬率!C191)</f>
        <v>0.16049868609014628</v>
      </c>
      <c r="D191">
        <f>D190*(1+$CD$2)*(1+每日報酬率!D191)</f>
        <v>1.5698730072057852</v>
      </c>
      <c r="E191">
        <f>E190*(1+$CD$2)*(1+每日報酬率!E191)</f>
        <v>0.11339063957045291</v>
      </c>
      <c r="F191">
        <f t="shared" si="4"/>
        <v>1.8437623328663844</v>
      </c>
      <c r="K191" s="3">
        <f>IFERROR(G192/每日收盤價!B191,0)</f>
        <v>0</v>
      </c>
      <c r="L191" s="3">
        <f>IFERROR(H192/每日收盤價!C191,0)</f>
        <v>0</v>
      </c>
      <c r="M191" s="3">
        <f>IFERROR(I192/每日收盤價!D191,0)</f>
        <v>0</v>
      </c>
      <c r="N191" s="3">
        <f>IFERROR(J192/每日收盤價!E191,0)</f>
        <v>0</v>
      </c>
      <c r="O191">
        <f t="shared" si="5"/>
        <v>0</v>
      </c>
    </row>
    <row r="192" spans="1:15">
      <c r="A192" s="9" t="s">
        <v>195</v>
      </c>
      <c r="B192">
        <f>B191*(1+$CD$2)*(1+每日報酬率!B192)</f>
        <v>0</v>
      </c>
      <c r="C192">
        <f>C191*(1+$CD$2)*(1+每日報酬率!C192)</f>
        <v>0.16243240519966609</v>
      </c>
      <c r="D192">
        <f>D191*(1+$CD$2)*(1+每日報酬率!D192)</f>
        <v>1.5698730072057852</v>
      </c>
      <c r="E192">
        <f>E191*(1+$CD$2)*(1+每日報酬率!E192)</f>
        <v>0.11556287404498265</v>
      </c>
      <c r="F192">
        <f t="shared" si="4"/>
        <v>1.8478682864504339</v>
      </c>
      <c r="K192" s="3">
        <f>IFERROR(G193/每日收盤價!B192,0)</f>
        <v>0</v>
      </c>
      <c r="L192" s="3">
        <f>IFERROR(H193/每日收盤價!C192,0)</f>
        <v>0</v>
      </c>
      <c r="M192" s="3">
        <f>IFERROR(I193/每日收盤價!D192,0)</f>
        <v>0</v>
      </c>
      <c r="N192" s="3">
        <f>IFERROR(J193/每日收盤價!E192,0)</f>
        <v>0</v>
      </c>
      <c r="O192">
        <f t="shared" si="5"/>
        <v>0</v>
      </c>
    </row>
    <row r="193" spans="1:15">
      <c r="A193" s="9" t="s">
        <v>196</v>
      </c>
      <c r="B193">
        <f>B192*(1+$CD$2)*(1+每日報酬率!B193)</f>
        <v>0</v>
      </c>
      <c r="C193">
        <f>C192*(1+$CD$2)*(1+每日報酬率!C193)</f>
        <v>0.16668658724060972</v>
      </c>
      <c r="D193">
        <f>D192*(1+$CD$2)*(1+每日報酬率!D193)</f>
        <v>1.5554041315633356</v>
      </c>
      <c r="E193">
        <f>E192*(1+$CD$2)*(1+每日報酬率!E193)</f>
        <v>0.11382508646535885</v>
      </c>
      <c r="F193">
        <f t="shared" si="4"/>
        <v>1.8359158052693043</v>
      </c>
      <c r="K193" s="3">
        <f>IFERROR(G194/每日收盤價!B193,0)</f>
        <v>0</v>
      </c>
      <c r="L193" s="3">
        <f>IFERROR(H194/每日收盤價!C193,0)</f>
        <v>0</v>
      </c>
      <c r="M193" s="3">
        <f>IFERROR(I194/每日收盤價!D193,0)</f>
        <v>0</v>
      </c>
      <c r="N193" s="3">
        <f>IFERROR(J194/每日收盤價!E193,0)</f>
        <v>0</v>
      </c>
      <c r="O193">
        <f t="shared" si="5"/>
        <v>0</v>
      </c>
    </row>
    <row r="194" spans="1:15">
      <c r="A194" s="9" t="s">
        <v>197</v>
      </c>
      <c r="B194">
        <f>B193*(1+$CD$2)*(1+每日報酬率!B194)</f>
        <v>0</v>
      </c>
      <c r="C194">
        <f>C193*(1+$CD$2)*(1+每日報酬率!C194)</f>
        <v>0.16707333106251368</v>
      </c>
      <c r="D194">
        <f>D193*(1+$CD$2)*(1+每日報酬率!D194)</f>
        <v>1.5337008180996612</v>
      </c>
      <c r="E194">
        <f>E193*(1+$CD$2)*(1+每日報酬率!E194)</f>
        <v>0.11295619267554695</v>
      </c>
      <c r="F194">
        <f t="shared" si="4"/>
        <v>1.8137303418377217</v>
      </c>
      <c r="K194" s="3">
        <f>IFERROR(G195/每日收盤價!B194,0)</f>
        <v>0</v>
      </c>
      <c r="L194" s="3">
        <f>IFERROR(H195/每日收盤價!C194,0)</f>
        <v>0</v>
      </c>
      <c r="M194" s="3">
        <f>IFERROR(I195/每日收盤價!D194,0)</f>
        <v>0</v>
      </c>
      <c r="N194" s="3">
        <f>IFERROR(J195/每日收盤價!E194,0)</f>
        <v>0</v>
      </c>
      <c r="O194">
        <f t="shared" si="5"/>
        <v>0</v>
      </c>
    </row>
    <row r="195" spans="1:15">
      <c r="A195" s="9" t="s">
        <v>198</v>
      </c>
      <c r="B195">
        <f>B194*(1+$CD$2)*(1+每日報酬率!B195)</f>
        <v>0</v>
      </c>
      <c r="C195">
        <f>C194*(1+$CD$2)*(1+每日報酬率!C195)</f>
        <v>0.16359263666537796</v>
      </c>
      <c r="D195">
        <f>D194*(1+$CD$2)*(1+每日報酬率!D195)</f>
        <v>1.5337008180996612</v>
      </c>
      <c r="E195">
        <f>E194*(1+$CD$2)*(1+每日報酬率!E195)</f>
        <v>0.11034951130611124</v>
      </c>
      <c r="F195">
        <f t="shared" ref="F195:F258" si="6">SUM(B195:E195)</f>
        <v>1.8076429660711504</v>
      </c>
      <c r="K195" s="3">
        <f>IFERROR(G196/每日收盤價!B195,0)</f>
        <v>0</v>
      </c>
      <c r="L195" s="3">
        <f>IFERROR(H196/每日收盤價!C195,0)</f>
        <v>0</v>
      </c>
      <c r="M195" s="3">
        <f>IFERROR(I196/每日收盤價!D195,0)</f>
        <v>0</v>
      </c>
      <c r="N195" s="3">
        <f>IFERROR(J196/每日收盤價!E195,0)</f>
        <v>0</v>
      </c>
      <c r="O195">
        <f t="shared" ref="O195:O258" si="7">SUM(K195:N195)</f>
        <v>0</v>
      </c>
    </row>
    <row r="196" spans="1:15">
      <c r="A196" s="9" t="s">
        <v>199</v>
      </c>
      <c r="B196">
        <f>B195*(1+$CD$2)*(1+每日報酬率!B196)</f>
        <v>0</v>
      </c>
      <c r="C196">
        <f>C195*(1+$CD$2)*(1+每日報酬率!C196)</f>
        <v>0.16707333106251365</v>
      </c>
      <c r="D196">
        <f>D195*(1+$CD$2)*(1+每日報酬率!D196)</f>
        <v>1.540935255920886</v>
      </c>
      <c r="E196">
        <f>E195*(1+$CD$2)*(1+每日報酬率!E196)</f>
        <v>0.11425953336026479</v>
      </c>
      <c r="F196">
        <f t="shared" si="6"/>
        <v>1.8222681203436644</v>
      </c>
      <c r="K196" s="3">
        <f>IFERROR(G197/每日收盤價!B196,0)</f>
        <v>0</v>
      </c>
      <c r="L196" s="3">
        <f>IFERROR(H197/每日收盤價!C196,0)</f>
        <v>0</v>
      </c>
      <c r="M196" s="3">
        <f>IFERROR(I197/每日收盤價!D196,0)</f>
        <v>0</v>
      </c>
      <c r="N196" s="3">
        <f>IFERROR(J197/每日收盤價!E196,0)</f>
        <v>0</v>
      </c>
      <c r="O196">
        <f t="shared" si="7"/>
        <v>0</v>
      </c>
    </row>
    <row r="197" spans="1:15">
      <c r="A197" s="9" t="s">
        <v>200</v>
      </c>
      <c r="B197">
        <f>B196*(1+$CD$2)*(1+每日報酬率!B197)</f>
        <v>0</v>
      </c>
      <c r="C197">
        <f>C196*(1+$CD$2)*(1+每日報酬率!C197)</f>
        <v>0.16629984341870571</v>
      </c>
      <c r="D197">
        <f>D196*(1+$CD$2)*(1+每日報酬率!D197)</f>
        <v>1.5192319424572116</v>
      </c>
      <c r="E197">
        <f>E196*(1+$CD$2)*(1+每日報酬率!E197)</f>
        <v>0.11599732093988857</v>
      </c>
      <c r="F197">
        <f t="shared" si="6"/>
        <v>1.8015291068158059</v>
      </c>
      <c r="K197" s="3">
        <f>IFERROR(G198/每日收盤價!B197,0)</f>
        <v>0</v>
      </c>
      <c r="L197" s="3">
        <f>IFERROR(H198/每日收盤價!C197,0)</f>
        <v>0</v>
      </c>
      <c r="M197" s="3">
        <f>IFERROR(I198/每日收盤價!D197,0)</f>
        <v>0</v>
      </c>
      <c r="N197" s="3">
        <f>IFERROR(J198/每日收盤價!E197,0)</f>
        <v>0</v>
      </c>
      <c r="O197">
        <f t="shared" si="7"/>
        <v>0</v>
      </c>
    </row>
    <row r="198" spans="1:15">
      <c r="A198" s="9" t="s">
        <v>201</v>
      </c>
      <c r="B198">
        <f>B197*(1+$CD$2)*(1+每日報酬率!B198)</f>
        <v>0</v>
      </c>
      <c r="C198">
        <f>C197*(1+$CD$2)*(1+每日報酬率!C198)</f>
        <v>0.16204566137776208</v>
      </c>
      <c r="D198">
        <f>D197*(1+$CD$2)*(1+每日報酬率!D198)</f>
        <v>1.504763066814762</v>
      </c>
      <c r="E198">
        <f>E197*(1+$CD$2)*(1+每日報酬率!E198)</f>
        <v>0.11295619267554693</v>
      </c>
      <c r="F198">
        <f t="shared" si="6"/>
        <v>1.779764920868071</v>
      </c>
      <c r="K198" s="3">
        <f>IFERROR(G199/每日收盤價!B198,0)</f>
        <v>0</v>
      </c>
      <c r="L198" s="3">
        <f>IFERROR(H199/每日收盤價!C198,0)</f>
        <v>0</v>
      </c>
      <c r="M198" s="3">
        <f>IFERROR(I199/每日收盤價!D198,0)</f>
        <v>0</v>
      </c>
      <c r="N198" s="3">
        <f>IFERROR(J199/每日收盤價!E198,0)</f>
        <v>0</v>
      </c>
      <c r="O198">
        <f t="shared" si="7"/>
        <v>0</v>
      </c>
    </row>
    <row r="199" spans="1:15">
      <c r="A199" s="9" t="s">
        <v>202</v>
      </c>
      <c r="B199">
        <f>B198*(1+$CD$2)*(1+每日報酬率!B199)</f>
        <v>0</v>
      </c>
      <c r="C199">
        <f>C198*(1+$CD$2)*(1+每日報酬率!C199)</f>
        <v>0.16359263666537793</v>
      </c>
      <c r="D199">
        <f>D198*(1+$CD$2)*(1+每日報酬率!D199)</f>
        <v>1.4902941911723124</v>
      </c>
      <c r="E199">
        <f>E198*(1+$CD$2)*(1+每日報酬率!E199)</f>
        <v>0.11208729888573504</v>
      </c>
      <c r="F199">
        <f t="shared" si="6"/>
        <v>1.7659741267234255</v>
      </c>
      <c r="K199" s="3">
        <f>IFERROR(G200/每日收盤價!B199,0)</f>
        <v>0</v>
      </c>
      <c r="L199" s="3">
        <f>IFERROR(H200/每日收盤價!C199,0)</f>
        <v>0</v>
      </c>
      <c r="M199" s="3">
        <f>IFERROR(I200/每日收盤價!D199,0)</f>
        <v>0</v>
      </c>
      <c r="N199" s="3">
        <f>IFERROR(J200/每日收盤價!E199,0)</f>
        <v>0</v>
      </c>
      <c r="O199">
        <f t="shared" si="7"/>
        <v>0</v>
      </c>
    </row>
    <row r="200" spans="1:15">
      <c r="A200" s="9" t="s">
        <v>203</v>
      </c>
      <c r="B200">
        <f>B199*(1+$CD$2)*(1+每日報酬率!B200)</f>
        <v>0</v>
      </c>
      <c r="C200">
        <f>C199*(1+$CD$2)*(1+每日報酬率!C200)</f>
        <v>0.16088542991205015</v>
      </c>
      <c r="D200">
        <f>D199*(1+$CD$2)*(1+每日報酬率!D200)</f>
        <v>1.4830597533510876</v>
      </c>
      <c r="E200">
        <f>E199*(1+$CD$2)*(1+每日報酬率!E200)</f>
        <v>0.11208729888573504</v>
      </c>
      <c r="F200">
        <f t="shared" si="6"/>
        <v>1.7560324821488729</v>
      </c>
      <c r="K200" s="3">
        <f>IFERROR(G201/每日收盤價!B200,0)</f>
        <v>0</v>
      </c>
      <c r="L200" s="3">
        <f>IFERROR(H201/每日收盤價!C200,0)</f>
        <v>0</v>
      </c>
      <c r="M200" s="3">
        <f>IFERROR(I201/每日收盤價!D200,0)</f>
        <v>0</v>
      </c>
      <c r="N200" s="3">
        <f>IFERROR(J201/每日收盤價!E200,0)</f>
        <v>0</v>
      </c>
      <c r="O200">
        <f t="shared" si="7"/>
        <v>0</v>
      </c>
    </row>
    <row r="201" spans="1:15">
      <c r="A201" s="9" t="s">
        <v>204</v>
      </c>
      <c r="B201">
        <f>B200*(1+$CD$2)*(1+每日報酬率!B201)</f>
        <v>0</v>
      </c>
      <c r="C201">
        <f>C200*(1+$CD$2)*(1+每日報酬率!C201)</f>
        <v>0.16552635577489774</v>
      </c>
      <c r="D201">
        <f>D200*(1+$CD$2)*(1+每日報酬率!D201)</f>
        <v>1.504763066814762</v>
      </c>
      <c r="E201">
        <f>E200*(1+$CD$2)*(1+每日報酬率!E201)</f>
        <v>0.11252174578064099</v>
      </c>
      <c r="F201">
        <f t="shared" si="6"/>
        <v>1.7828111683703007</v>
      </c>
      <c r="K201" s="3">
        <f>IFERROR(G202/每日收盤價!B201,0)</f>
        <v>0</v>
      </c>
      <c r="L201" s="3">
        <f>IFERROR(H202/每日收盤價!C201,0)</f>
        <v>0</v>
      </c>
      <c r="M201" s="3">
        <f>IFERROR(I202/每日收盤價!D201,0)</f>
        <v>0</v>
      </c>
      <c r="N201" s="3">
        <f>IFERROR(J202/每日收盤價!E201,0)</f>
        <v>0</v>
      </c>
      <c r="O201">
        <f t="shared" si="7"/>
        <v>0</v>
      </c>
    </row>
    <row r="202" spans="1:15">
      <c r="A202" s="9" t="s">
        <v>205</v>
      </c>
      <c r="B202">
        <f>B201*(1+$CD$2)*(1+每日報酬率!B202)</f>
        <v>0</v>
      </c>
      <c r="C202">
        <f>C201*(1+$CD$2)*(1+每日報酬率!C202)</f>
        <v>0.16552635577489774</v>
      </c>
      <c r="D202">
        <f>D201*(1+$CD$2)*(1+每日報酬率!D202)</f>
        <v>1.5192319424572116</v>
      </c>
      <c r="E202">
        <f>E201*(1+$CD$2)*(1+每日報酬率!E202)</f>
        <v>0.11208729888573504</v>
      </c>
      <c r="F202">
        <f t="shared" si="6"/>
        <v>1.7968455971178445</v>
      </c>
      <c r="K202" s="3">
        <f>IFERROR(G203/每日收盤價!B202,0)</f>
        <v>0</v>
      </c>
      <c r="L202" s="3">
        <f>IFERROR(H203/每日收盤價!C202,0)</f>
        <v>0</v>
      </c>
      <c r="M202" s="3">
        <f>IFERROR(I203/每日收盤價!D202,0)</f>
        <v>0</v>
      </c>
      <c r="N202" s="3">
        <f>IFERROR(J203/每日收盤價!E202,0)</f>
        <v>0</v>
      </c>
      <c r="O202">
        <f t="shared" si="7"/>
        <v>0</v>
      </c>
    </row>
    <row r="203" spans="1:15">
      <c r="A203" s="9" t="s">
        <v>206</v>
      </c>
      <c r="B203">
        <f>B202*(1+$CD$2)*(1+每日報酬率!B203)</f>
        <v>0</v>
      </c>
      <c r="C203">
        <f>C202*(1+$CD$2)*(1+每日報酬率!C203)</f>
        <v>0.16513961195299376</v>
      </c>
      <c r="D203">
        <f>D202*(1+$CD$2)*(1+每日報酬率!D203)</f>
        <v>1.5337008180996612</v>
      </c>
      <c r="E203">
        <f>E202*(1+$CD$2)*(1+每日報酬率!E203)</f>
        <v>0.11339063957045289</v>
      </c>
      <c r="F203">
        <f t="shared" si="6"/>
        <v>1.8122310696231079</v>
      </c>
      <c r="K203" s="3">
        <f>IFERROR(G204/每日收盤價!B203,0)</f>
        <v>0</v>
      </c>
      <c r="L203" s="3">
        <f>IFERROR(H204/每日收盤價!C203,0)</f>
        <v>0</v>
      </c>
      <c r="M203" s="3">
        <f>IFERROR(I204/每日收盤價!D203,0)</f>
        <v>0</v>
      </c>
      <c r="N203" s="3">
        <f>IFERROR(J204/每日收盤價!E203,0)</f>
        <v>0</v>
      </c>
      <c r="O203">
        <f t="shared" si="7"/>
        <v>0</v>
      </c>
    </row>
    <row r="204" spans="1:15">
      <c r="A204" s="9" t="s">
        <v>207</v>
      </c>
      <c r="B204">
        <f>B203*(1+$CD$2)*(1+每日報酬率!B204)</f>
        <v>0</v>
      </c>
      <c r="C204">
        <f>C203*(1+$CD$2)*(1+每日報酬率!C204)</f>
        <v>0.16784681870632154</v>
      </c>
      <c r="D204">
        <f>D203*(1+$CD$2)*(1+每日報酬率!D204)</f>
        <v>1.540935255920886</v>
      </c>
      <c r="E204">
        <f>E203*(1+$CD$2)*(1+每日報酬率!E204)</f>
        <v>0.11339063957045289</v>
      </c>
      <c r="F204">
        <f t="shared" si="6"/>
        <v>1.8221727141976605</v>
      </c>
      <c r="K204" s="3">
        <f>IFERROR(G205/每日收盤價!B204,0)</f>
        <v>0</v>
      </c>
      <c r="L204" s="3">
        <f>IFERROR(H205/每日收盤價!C204,0)</f>
        <v>0</v>
      </c>
      <c r="M204" s="3">
        <f>IFERROR(I205/每日收盤價!D204,0)</f>
        <v>0</v>
      </c>
      <c r="N204" s="3">
        <f>IFERROR(J205/每日收盤價!E204,0)</f>
        <v>0</v>
      </c>
      <c r="O204">
        <f t="shared" si="7"/>
        <v>0</v>
      </c>
    </row>
    <row r="205" spans="1:15">
      <c r="A205" s="9" t="s">
        <v>208</v>
      </c>
      <c r="B205">
        <f>B204*(1+$CD$2)*(1+每日報酬率!B205)</f>
        <v>0</v>
      </c>
      <c r="C205">
        <f>C204*(1+$CD$2)*(1+每日報酬率!C205)</f>
        <v>0.16862030635012948</v>
      </c>
      <c r="D205">
        <f>D204*(1+$CD$2)*(1+每日報酬率!D205)</f>
        <v>1.5771074450270099</v>
      </c>
      <c r="E205">
        <f>E204*(1+$CD$2)*(1+每日報酬率!E205)</f>
        <v>0.11121840509592315</v>
      </c>
      <c r="F205">
        <f t="shared" si="6"/>
        <v>1.8569461564730625</v>
      </c>
      <c r="K205" s="3">
        <f>IFERROR(G206/每日收盤價!B205,0)</f>
        <v>0</v>
      </c>
      <c r="L205" s="3">
        <f>IFERROR(H206/每日收盤價!C205,0)</f>
        <v>0</v>
      </c>
      <c r="M205" s="3">
        <f>IFERROR(I206/每日收盤價!D205,0)</f>
        <v>0</v>
      </c>
      <c r="N205" s="3">
        <f>IFERROR(J206/每日收盤價!E205,0)</f>
        <v>0</v>
      </c>
      <c r="O205">
        <f t="shared" si="7"/>
        <v>0</v>
      </c>
    </row>
    <row r="206" spans="1:15">
      <c r="A206" s="9" t="s">
        <v>209</v>
      </c>
      <c r="B206">
        <f>B205*(1+$CD$2)*(1+每日報酬率!B206)</f>
        <v>0</v>
      </c>
      <c r="C206">
        <f>C205*(1+$CD$2)*(1+每日報酬率!C206)</f>
        <v>0.17016728163774533</v>
      </c>
      <c r="D206">
        <f>D205*(1+$CD$2)*(1+每日報酬率!D206)</f>
        <v>1.5698730072057852</v>
      </c>
      <c r="E206">
        <f>E205*(1+$CD$2)*(1+每日報酬率!E206)</f>
        <v>0.112521745780641</v>
      </c>
      <c r="F206">
        <f t="shared" si="6"/>
        <v>1.8525620346241713</v>
      </c>
      <c r="K206" s="3">
        <f>IFERROR(G207/每日收盤價!B206,0)</f>
        <v>0</v>
      </c>
      <c r="L206" s="3">
        <f>IFERROR(H207/每日收盤價!C206,0)</f>
        <v>0</v>
      </c>
      <c r="M206" s="3">
        <f>IFERROR(I207/每日收盤價!D206,0)</f>
        <v>0</v>
      </c>
      <c r="N206" s="3">
        <f>IFERROR(J207/每日收盤價!E206,0)</f>
        <v>0</v>
      </c>
      <c r="O206">
        <f t="shared" si="7"/>
        <v>0</v>
      </c>
    </row>
    <row r="207" spans="1:15">
      <c r="A207" s="9" t="s">
        <v>210</v>
      </c>
      <c r="B207">
        <f>B206*(1+$CD$2)*(1+每日報酬率!B207)</f>
        <v>0</v>
      </c>
      <c r="C207">
        <f>C206*(1+$CD$2)*(1+每日報酬率!C207)</f>
        <v>0.16552635577489774</v>
      </c>
      <c r="D207">
        <f>D206*(1+$CD$2)*(1+每日報酬率!D207)</f>
        <v>1.5192319424572114</v>
      </c>
      <c r="E207">
        <f>E206*(1+$CD$2)*(1+每日報酬率!E207)</f>
        <v>0.10991506441120531</v>
      </c>
      <c r="F207">
        <f t="shared" si="6"/>
        <v>1.7946733626433145</v>
      </c>
      <c r="K207" s="3">
        <f>IFERROR(G208/每日收盤價!B207,0)</f>
        <v>0</v>
      </c>
      <c r="L207" s="3">
        <f>IFERROR(H208/每日收盤價!C207,0)</f>
        <v>0</v>
      </c>
      <c r="M207" s="3">
        <f>IFERROR(I208/每日收盤價!D207,0)</f>
        <v>0</v>
      </c>
      <c r="N207" s="3">
        <f>IFERROR(J208/每日收盤價!E207,0)</f>
        <v>0</v>
      </c>
      <c r="O207">
        <f t="shared" si="7"/>
        <v>0</v>
      </c>
    </row>
    <row r="208" spans="1:15">
      <c r="A208" s="9" t="s">
        <v>211</v>
      </c>
      <c r="B208">
        <f>B207*(1+$CD$2)*(1+每日報酬率!B208)</f>
        <v>0</v>
      </c>
      <c r="C208">
        <f>C207*(1+$CD$2)*(1+每日報酬率!C208)</f>
        <v>0.1659130995968017</v>
      </c>
      <c r="D208">
        <f>D207*(1+$CD$2)*(1+每日報酬率!D208)</f>
        <v>1.497528628993537</v>
      </c>
      <c r="E208">
        <f>E207*(1+$CD$2)*(1+每日報酬率!E208)</f>
        <v>0.10904617062139342</v>
      </c>
      <c r="F208">
        <f t="shared" si="6"/>
        <v>1.7724878992117321</v>
      </c>
      <c r="K208" s="3">
        <f>IFERROR(G209/每日收盤價!B208,0)</f>
        <v>0</v>
      </c>
      <c r="L208" s="3">
        <f>IFERROR(H209/每日收盤價!C208,0)</f>
        <v>0</v>
      </c>
      <c r="M208" s="3">
        <f>IFERROR(I209/每日收盤價!D208,0)</f>
        <v>0</v>
      </c>
      <c r="N208" s="3">
        <f>IFERROR(J209/每日收盤價!E208,0)</f>
        <v>0</v>
      </c>
      <c r="O208">
        <f t="shared" si="7"/>
        <v>0</v>
      </c>
    </row>
    <row r="209" spans="1:15">
      <c r="A209" s="9" t="s">
        <v>212</v>
      </c>
      <c r="B209">
        <f>B208*(1+$CD$2)*(1+每日報酬率!B209)</f>
        <v>0</v>
      </c>
      <c r="C209">
        <f>C208*(1+$CD$2)*(1+每日報酬率!C209)</f>
        <v>0.16359263666537791</v>
      </c>
      <c r="D209">
        <f>D208*(1+$CD$2)*(1+每日報酬率!D209)</f>
        <v>1.497528628993537</v>
      </c>
      <c r="E209">
        <f>E208*(1+$CD$2)*(1+每日報酬率!E209)</f>
        <v>0.10730838304176962</v>
      </c>
      <c r="F209">
        <f t="shared" si="6"/>
        <v>1.7684296487006845</v>
      </c>
      <c r="K209" s="3">
        <f>IFERROR(G210/每日收盤價!B209,0)</f>
        <v>0</v>
      </c>
      <c r="L209" s="3">
        <f>IFERROR(H210/每日收盤價!C209,0)</f>
        <v>0</v>
      </c>
      <c r="M209" s="3">
        <f>IFERROR(I210/每日收盤價!D209,0)</f>
        <v>0</v>
      </c>
      <c r="N209" s="3">
        <f>IFERROR(J210/每日收盤價!E209,0)</f>
        <v>0</v>
      </c>
      <c r="O209">
        <f t="shared" si="7"/>
        <v>0</v>
      </c>
    </row>
    <row r="210" spans="1:15">
      <c r="A210" s="9" t="s">
        <v>213</v>
      </c>
      <c r="B210">
        <f>B209*(1+$CD$2)*(1+每日報酬率!B210)</f>
        <v>0</v>
      </c>
      <c r="C210">
        <f>C209*(1+$CD$2)*(1+每日報酬率!C210)</f>
        <v>0.16011194226824221</v>
      </c>
      <c r="D210">
        <f>D209*(1+$CD$2)*(1+每日報酬率!D210)</f>
        <v>1.497528628993537</v>
      </c>
      <c r="E210">
        <f>E209*(1+$CD$2)*(1+每日報酬率!E210)</f>
        <v>0.11034951130611126</v>
      </c>
      <c r="F210">
        <f t="shared" si="6"/>
        <v>1.7679900825678905</v>
      </c>
      <c r="K210" s="3">
        <f>IFERROR(G211/每日收盤價!B210,0)</f>
        <v>0</v>
      </c>
      <c r="L210" s="3">
        <f>IFERROR(H211/每日收盤價!C210,0)</f>
        <v>0</v>
      </c>
      <c r="M210" s="3">
        <f>IFERROR(I211/每日收盤價!D210,0)</f>
        <v>0</v>
      </c>
      <c r="N210" s="3">
        <f>IFERROR(J211/每日收盤價!E210,0)</f>
        <v>0</v>
      </c>
      <c r="O210">
        <f t="shared" si="7"/>
        <v>0</v>
      </c>
    </row>
    <row r="211" spans="1:15">
      <c r="A211" s="9" t="s">
        <v>214</v>
      </c>
      <c r="B211">
        <f>B210*(1+$CD$2)*(1+每日報酬率!B211)</f>
        <v>0</v>
      </c>
      <c r="C211">
        <f>C210*(1+$CD$2)*(1+每日報酬率!C211)</f>
        <v>0.15663124787110652</v>
      </c>
      <c r="D211">
        <f>D210*(1+$CD$2)*(1+每日報酬率!D211)</f>
        <v>1.4830597533510872</v>
      </c>
      <c r="E211">
        <f>E210*(1+$CD$2)*(1+每日報酬率!E211)</f>
        <v>0.10774282993667557</v>
      </c>
      <c r="F211">
        <f t="shared" si="6"/>
        <v>1.7474338311588693</v>
      </c>
      <c r="K211" s="3">
        <f>IFERROR(G212/每日收盤價!B211,0)</f>
        <v>0</v>
      </c>
      <c r="L211" s="3">
        <f>IFERROR(H212/每日收盤價!C211,0)</f>
        <v>0</v>
      </c>
      <c r="M211" s="3">
        <f>IFERROR(I212/每日收盤價!D211,0)</f>
        <v>0</v>
      </c>
      <c r="N211" s="3">
        <f>IFERROR(J212/每日收盤價!E211,0)</f>
        <v>0</v>
      </c>
      <c r="O211">
        <f t="shared" si="7"/>
        <v>0</v>
      </c>
    </row>
    <row r="212" spans="1:15">
      <c r="A212" s="9" t="s">
        <v>215</v>
      </c>
      <c r="B212">
        <f>B211*(1+$CD$2)*(1+每日報酬率!B212)</f>
        <v>0</v>
      </c>
      <c r="C212">
        <f>C211*(1+$CD$2)*(1+每日報酬率!C212)</f>
        <v>0.15740473551491443</v>
      </c>
      <c r="D212">
        <f>D211*(1+$CD$2)*(1+每日報酬率!D212)</f>
        <v>1.5047630668147616</v>
      </c>
      <c r="E212">
        <f>E211*(1+$CD$2)*(1+每日報酬率!E212)</f>
        <v>0.11165285199082912</v>
      </c>
      <c r="F212">
        <f t="shared" si="6"/>
        <v>1.7738206543205051</v>
      </c>
      <c r="K212" s="3">
        <f>IFERROR(G213/每日收盤價!B212,0)</f>
        <v>0</v>
      </c>
      <c r="L212" s="3">
        <f>IFERROR(H213/每日收盤價!C212,0)</f>
        <v>0</v>
      </c>
      <c r="M212" s="3">
        <f>IFERROR(I213/每日收盤價!D212,0)</f>
        <v>0</v>
      </c>
      <c r="N212" s="3">
        <f>IFERROR(J213/每日收盤價!E212,0)</f>
        <v>0</v>
      </c>
      <c r="O212">
        <f t="shared" si="7"/>
        <v>0</v>
      </c>
    </row>
    <row r="213" spans="1:15">
      <c r="A213" s="9" t="s">
        <v>216</v>
      </c>
      <c r="B213">
        <f>B212*(1+$CD$2)*(1+每日報酬率!B213)</f>
        <v>0</v>
      </c>
      <c r="C213">
        <f>C212*(1+$CD$2)*(1+每日報酬率!C213)</f>
        <v>0.15933845462443424</v>
      </c>
      <c r="D213">
        <f>D212*(1+$CD$2)*(1+每日報酬率!D213)</f>
        <v>1.4830597533510872</v>
      </c>
      <c r="E213">
        <f>E212*(1+$CD$2)*(1+每日報酬率!E213)</f>
        <v>0.11078395820101723</v>
      </c>
      <c r="F213">
        <f t="shared" si="6"/>
        <v>1.7531821661765388</v>
      </c>
      <c r="K213" s="3">
        <f>IFERROR(G214/每日收盤價!B213,0)</f>
        <v>0</v>
      </c>
      <c r="L213" s="3">
        <f>IFERROR(H214/每日收盤價!C213,0)</f>
        <v>0</v>
      </c>
      <c r="M213" s="3">
        <f>IFERROR(I214/每日收盤價!D213,0)</f>
        <v>0</v>
      </c>
      <c r="N213" s="3">
        <f>IFERROR(J214/每日收盤價!E213,0)</f>
        <v>0</v>
      </c>
      <c r="O213">
        <f t="shared" si="7"/>
        <v>0</v>
      </c>
    </row>
    <row r="214" spans="1:15">
      <c r="A214" s="9" t="s">
        <v>217</v>
      </c>
      <c r="B214">
        <f>B213*(1+$CD$2)*(1+每日報酬率!B214)</f>
        <v>0</v>
      </c>
      <c r="C214">
        <f>C213*(1+$CD$2)*(1+每日報酬率!C214)</f>
        <v>0.15663124787110647</v>
      </c>
      <c r="D214">
        <f>D213*(1+$CD$2)*(1+每日報酬率!D214)</f>
        <v>1.4613564398874128</v>
      </c>
      <c r="E214">
        <f>E213*(1+$CD$2)*(1+每日報酬率!E214)</f>
        <v>0.10991506441120534</v>
      </c>
      <c r="F214">
        <f t="shared" si="6"/>
        <v>1.7279027521697246</v>
      </c>
      <c r="K214" s="3">
        <f>IFERROR(G215/每日收盤價!B214,0)</f>
        <v>0</v>
      </c>
      <c r="L214" s="3">
        <f>IFERROR(H215/每日收盤價!C214,0)</f>
        <v>0</v>
      </c>
      <c r="M214" s="3">
        <f>IFERROR(I215/每日收盤價!D214,0)</f>
        <v>0</v>
      </c>
      <c r="N214" s="3">
        <f>IFERROR(J215/每日收盤價!E214,0)</f>
        <v>0</v>
      </c>
      <c r="O214">
        <f t="shared" si="7"/>
        <v>0</v>
      </c>
    </row>
    <row r="215" spans="1:15">
      <c r="A215" s="9" t="s">
        <v>218</v>
      </c>
      <c r="B215">
        <f>B214*(1+$CD$2)*(1+每日報酬率!B215)</f>
        <v>0</v>
      </c>
      <c r="C215">
        <f>C214*(1+$CD$2)*(1+每日報酬率!C215)</f>
        <v>0.15701799169301042</v>
      </c>
      <c r="D215">
        <f>D214*(1+$CD$2)*(1+每日報酬率!D215)</f>
        <v>1.5047630668147618</v>
      </c>
      <c r="E215">
        <f>E214*(1+$CD$2)*(1+每日報酬率!E215)</f>
        <v>0.1138250864653589</v>
      </c>
      <c r="F215">
        <f t="shared" si="6"/>
        <v>1.7756061449731311</v>
      </c>
      <c r="K215" s="3">
        <f>IFERROR(G216/每日收盤價!B215,0)</f>
        <v>0</v>
      </c>
      <c r="L215" s="3">
        <f>IFERROR(H216/每日收盤價!C215,0)</f>
        <v>0</v>
      </c>
      <c r="M215" s="3">
        <f>IFERROR(I216/每日收盤價!D215,0)</f>
        <v>0</v>
      </c>
      <c r="N215" s="3">
        <f>IFERROR(J216/每日收盤價!E215,0)</f>
        <v>0</v>
      </c>
      <c r="O215">
        <f t="shared" si="7"/>
        <v>0</v>
      </c>
    </row>
    <row r="216" spans="1:15">
      <c r="A216" s="9" t="s">
        <v>219</v>
      </c>
      <c r="B216">
        <f>B215*(1+$CD$2)*(1+每日報酬率!B216)</f>
        <v>0</v>
      </c>
      <c r="C216">
        <f>C215*(1+$CD$2)*(1+每日報酬率!C216)</f>
        <v>0.16281914902156991</v>
      </c>
      <c r="D216">
        <f>D215*(1+$CD$2)*(1+每日報酬率!D216)</f>
        <v>1.4902941911723122</v>
      </c>
      <c r="E216">
        <f>E215*(1+$CD$2)*(1+每日報酬率!E216)</f>
        <v>0.11121840509592319</v>
      </c>
      <c r="F216">
        <f t="shared" si="6"/>
        <v>1.7643317452898055</v>
      </c>
      <c r="K216" s="3">
        <f>IFERROR(G217/每日收盤價!B216,0)</f>
        <v>0</v>
      </c>
      <c r="L216" s="3">
        <f>IFERROR(H217/每日收盤價!C216,0)</f>
        <v>0</v>
      </c>
      <c r="M216" s="3">
        <f>IFERROR(I217/每日收盤價!D216,0)</f>
        <v>0</v>
      </c>
      <c r="N216" s="3">
        <f>IFERROR(J217/每日收盤價!E216,0)</f>
        <v>0</v>
      </c>
      <c r="O216">
        <f t="shared" si="7"/>
        <v>0</v>
      </c>
    </row>
    <row r="217" spans="1:15">
      <c r="A217" s="9" t="s">
        <v>220</v>
      </c>
      <c r="B217">
        <f>B216*(1+$CD$2)*(1+每日報酬率!B217)</f>
        <v>0</v>
      </c>
      <c r="C217">
        <f>C216*(1+$CD$2)*(1+每日報酬率!C217)</f>
        <v>0.15663124787110644</v>
      </c>
      <c r="D217">
        <f>D216*(1+$CD$2)*(1+每日報酬率!D217)</f>
        <v>1.461356439887413</v>
      </c>
      <c r="E217">
        <f>E216*(1+$CD$2)*(1+每日報酬率!E217)</f>
        <v>0.11121840509592319</v>
      </c>
      <c r="F217">
        <f t="shared" si="6"/>
        <v>1.7292060928544428</v>
      </c>
      <c r="K217" s="3">
        <f>IFERROR(G218/每日收盤價!B217,0)</f>
        <v>0</v>
      </c>
      <c r="L217" s="3">
        <f>IFERROR(H218/每日收盤價!C217,0)</f>
        <v>0</v>
      </c>
      <c r="M217" s="3">
        <f>IFERROR(I218/每日收盤價!D217,0)</f>
        <v>0</v>
      </c>
      <c r="N217" s="3">
        <f>IFERROR(J218/每日收盤價!E217,0)</f>
        <v>0</v>
      </c>
      <c r="O217">
        <f t="shared" si="7"/>
        <v>0</v>
      </c>
    </row>
    <row r="218" spans="1:15">
      <c r="A218" s="9" t="s">
        <v>221</v>
      </c>
      <c r="B218">
        <f>B217*(1+$CD$2)*(1+每日報酬率!B218)</f>
        <v>0</v>
      </c>
      <c r="C218">
        <f>C217*(1+$CD$2)*(1+每日報酬率!C218)</f>
        <v>0.15199032200825882</v>
      </c>
      <c r="D218">
        <f>D217*(1+$CD$2)*(1+每日報酬率!D218)</f>
        <v>1.4468875642449635</v>
      </c>
      <c r="E218">
        <f>E217*(1+$CD$2)*(1+每日報酬率!E218)</f>
        <v>0.10861172372648749</v>
      </c>
      <c r="F218">
        <f t="shared" si="6"/>
        <v>1.7074896099797097</v>
      </c>
      <c r="K218" s="3">
        <f>IFERROR(G219/每日收盤價!B218,0)</f>
        <v>0</v>
      </c>
      <c r="L218" s="3">
        <f>IFERROR(H219/每日收盤價!C218,0)</f>
        <v>0</v>
      </c>
      <c r="M218" s="3">
        <f>IFERROR(I219/每日收盤價!D218,0)</f>
        <v>0</v>
      </c>
      <c r="N218" s="3">
        <f>IFERROR(J219/每日收盤價!E218,0)</f>
        <v>0</v>
      </c>
      <c r="O218">
        <f t="shared" si="7"/>
        <v>0</v>
      </c>
    </row>
    <row r="219" spans="1:15">
      <c r="A219" s="9" t="s">
        <v>222</v>
      </c>
      <c r="B219">
        <f>B218*(1+$CD$2)*(1+每日報酬率!B219)</f>
        <v>0</v>
      </c>
      <c r="C219">
        <f>C218*(1+$CD$2)*(1+每日報酬率!C219)</f>
        <v>0.15121683436445088</v>
      </c>
      <c r="D219">
        <f>D218*(1+$CD$2)*(1+每日報酬率!D219)</f>
        <v>1.454122002066188</v>
      </c>
      <c r="E219">
        <f>E218*(1+$CD$2)*(1+每日報酬率!E219)</f>
        <v>0.10904617062139343</v>
      </c>
      <c r="F219">
        <f t="shared" si="6"/>
        <v>1.7143850070520323</v>
      </c>
      <c r="K219" s="3">
        <f>IFERROR(G220/每日收盤價!B219,0)</f>
        <v>0</v>
      </c>
      <c r="L219" s="3">
        <f>IFERROR(H220/每日收盤價!C219,0)</f>
        <v>0</v>
      </c>
      <c r="M219" s="3">
        <f>IFERROR(I220/每日收盤價!D219,0)</f>
        <v>0</v>
      </c>
      <c r="N219" s="3">
        <f>IFERROR(J220/每日收盤價!E219,0)</f>
        <v>0</v>
      </c>
      <c r="O219">
        <f t="shared" si="7"/>
        <v>0</v>
      </c>
    </row>
    <row r="220" spans="1:15">
      <c r="A220" s="9" t="s">
        <v>223</v>
      </c>
      <c r="B220">
        <f>B219*(1+$CD$2)*(1+每日報酬率!B220)</f>
        <v>0</v>
      </c>
      <c r="C220">
        <f>C219*(1+$CD$2)*(1+每日報酬率!C220)</f>
        <v>0.15121683436445088</v>
      </c>
      <c r="D220">
        <f>D219*(1+$CD$2)*(1+每日報酬率!D220)</f>
        <v>1.4411000139879835</v>
      </c>
      <c r="E220">
        <f>E219*(1+$CD$2)*(1+每日報酬率!E220)</f>
        <v>0.10904617062139343</v>
      </c>
      <c r="F220">
        <f t="shared" si="6"/>
        <v>1.7013630189738278</v>
      </c>
      <c r="K220" s="3">
        <f>IFERROR(G221/每日收盤價!B220,0)</f>
        <v>0</v>
      </c>
      <c r="L220" s="3">
        <f>IFERROR(H221/每日收盤價!C220,0)</f>
        <v>0</v>
      </c>
      <c r="M220" s="3">
        <f>IFERROR(I221/每日收盤價!D220,0)</f>
        <v>0</v>
      </c>
      <c r="N220" s="3">
        <f>IFERROR(J221/每日收盤價!E220,0)</f>
        <v>0</v>
      </c>
      <c r="O220">
        <f t="shared" si="7"/>
        <v>0</v>
      </c>
    </row>
    <row r="221" spans="1:15">
      <c r="A221" s="9" t="s">
        <v>224</v>
      </c>
      <c r="B221">
        <f>B220*(1+$CD$2)*(1+每日報酬率!B221)</f>
        <v>0</v>
      </c>
      <c r="C221">
        <f>C220*(1+$CD$2)*(1+每日報酬率!C221)</f>
        <v>0.15160357818635484</v>
      </c>
      <c r="D221">
        <f>D220*(1+$CD$2)*(1+每日報酬率!D221)</f>
        <v>1.4975286289935372</v>
      </c>
      <c r="E221">
        <f>E220*(1+$CD$2)*(1+每日報酬率!E221)</f>
        <v>0.11382508646535888</v>
      </c>
      <c r="F221">
        <f t="shared" si="6"/>
        <v>1.7629572936452511</v>
      </c>
      <c r="K221" s="3">
        <f>IFERROR(G222/每日收盤價!B221,0)</f>
        <v>0</v>
      </c>
      <c r="L221" s="3">
        <f>IFERROR(H222/每日收盤價!C221,0)</f>
        <v>0</v>
      </c>
      <c r="M221" s="3">
        <f>IFERROR(I222/每日收盤價!D221,0)</f>
        <v>0</v>
      </c>
      <c r="N221" s="3">
        <f>IFERROR(J222/每日收盤價!E221,0)</f>
        <v>0</v>
      </c>
      <c r="O221">
        <f t="shared" si="7"/>
        <v>0</v>
      </c>
    </row>
    <row r="222" spans="1:15">
      <c r="A222" s="9" t="s">
        <v>225</v>
      </c>
      <c r="B222">
        <f>B221*(1+$CD$2)*(1+每日報酬率!B222)</f>
        <v>0</v>
      </c>
      <c r="C222">
        <f>C221*(1+$CD$2)*(1+每日報酬率!C222)</f>
        <v>0.15199032200825882</v>
      </c>
      <c r="D222">
        <f>D221*(1+$CD$2)*(1+每日報酬率!D222)</f>
        <v>1.5264663802784366</v>
      </c>
      <c r="E222">
        <f>E221*(1+$CD$2)*(1+每日報酬率!E222)</f>
        <v>0.11425953336026483</v>
      </c>
      <c r="F222">
        <f t="shared" si="6"/>
        <v>1.7927162356469601</v>
      </c>
      <c r="K222" s="3">
        <f>IFERROR(G223/每日收盤價!B222,0)</f>
        <v>0</v>
      </c>
      <c r="L222" s="3">
        <f>IFERROR(H223/每日收盤價!C222,0)</f>
        <v>0</v>
      </c>
      <c r="M222" s="3">
        <f>IFERROR(I223/每日收盤價!D222,0)</f>
        <v>0</v>
      </c>
      <c r="N222" s="3">
        <f>IFERROR(J223/每日收盤價!E222,0)</f>
        <v>0</v>
      </c>
      <c r="O222">
        <f t="shared" si="7"/>
        <v>0</v>
      </c>
    </row>
    <row r="223" spans="1:15">
      <c r="A223" s="9" t="s">
        <v>226</v>
      </c>
      <c r="B223">
        <f>B222*(1+$CD$2)*(1+每日報酬率!B223)</f>
        <v>0</v>
      </c>
      <c r="C223">
        <f>C222*(1+$CD$2)*(1+每日報酬率!C223)</f>
        <v>0.15547101640539451</v>
      </c>
      <c r="D223">
        <f>D222*(1+$CD$2)*(1+每日報酬率!D223)</f>
        <v>1.5481696937421112</v>
      </c>
      <c r="E223">
        <f>E222*(1+$CD$2)*(1+每日報酬率!E223)</f>
        <v>0.11469398025517077</v>
      </c>
      <c r="F223">
        <f t="shared" si="6"/>
        <v>1.8183346904026765</v>
      </c>
      <c r="K223" s="3">
        <f>IFERROR(G224/每日收盤價!B223,0)</f>
        <v>0</v>
      </c>
      <c r="L223" s="3">
        <f>IFERROR(H224/每日收盤價!C223,0)</f>
        <v>0</v>
      </c>
      <c r="M223" s="3">
        <f>IFERROR(I224/每日收盤價!D223,0)</f>
        <v>0</v>
      </c>
      <c r="N223" s="3">
        <f>IFERROR(J224/每日收盤價!E223,0)</f>
        <v>0</v>
      </c>
      <c r="O223">
        <f t="shared" si="7"/>
        <v>0</v>
      </c>
    </row>
    <row r="224" spans="1:15">
      <c r="A224" s="9" t="s">
        <v>227</v>
      </c>
      <c r="B224">
        <f>B223*(1+$CD$2)*(1+每日報酬率!B224)</f>
        <v>0</v>
      </c>
      <c r="C224">
        <f>C223*(1+$CD$2)*(1+每日報酬率!C224)</f>
        <v>0.15392404111777866</v>
      </c>
      <c r="D224">
        <f>D223*(1+$CD$2)*(1+每日報酬率!D224)</f>
        <v>1.5554041315633362</v>
      </c>
      <c r="E224">
        <f>E223*(1+$CD$2)*(1+每日報酬率!E224)</f>
        <v>0.11512842715007673</v>
      </c>
      <c r="F224">
        <f t="shared" si="6"/>
        <v>1.8244565998311917</v>
      </c>
      <c r="K224" s="3">
        <f>IFERROR(G225/每日收盤價!B224,0)</f>
        <v>0</v>
      </c>
      <c r="L224" s="3">
        <f>IFERROR(H225/每日收盤價!C224,0)</f>
        <v>0</v>
      </c>
      <c r="M224" s="3">
        <f>IFERROR(I225/每日收盤價!D224,0)</f>
        <v>0</v>
      </c>
      <c r="N224" s="3">
        <f>IFERROR(J225/每日收盤價!E224,0)</f>
        <v>0</v>
      </c>
      <c r="O224">
        <f t="shared" si="7"/>
        <v>0</v>
      </c>
    </row>
    <row r="225" spans="1:15">
      <c r="A225" s="9" t="s">
        <v>228</v>
      </c>
      <c r="B225">
        <f>B224*(1+$CD$2)*(1+每日報酬率!B225)</f>
        <v>0</v>
      </c>
      <c r="C225">
        <f>C224*(1+$CD$2)*(1+每日報酬率!C225)</f>
        <v>0.15315055347397072</v>
      </c>
      <c r="D225">
        <f>D224*(1+$CD$2)*(1+每日報酬率!D225)</f>
        <v>1.5409352559208866</v>
      </c>
      <c r="E225">
        <f>E224*(1+$CD$2)*(1+每日報酬率!E225)</f>
        <v>0.11339063957045294</v>
      </c>
      <c r="F225">
        <f t="shared" si="6"/>
        <v>1.8074764489653103</v>
      </c>
      <c r="K225" s="3">
        <f>IFERROR(G226/每日收盤價!B225,0)</f>
        <v>0</v>
      </c>
      <c r="L225" s="3">
        <f>IFERROR(H226/每日收盤價!C225,0)</f>
        <v>0</v>
      </c>
      <c r="M225" s="3">
        <f>IFERROR(I226/每日收盤價!D225,0)</f>
        <v>0</v>
      </c>
      <c r="N225" s="3">
        <f>IFERROR(J226/每日收盤價!E225,0)</f>
        <v>0</v>
      </c>
      <c r="O225">
        <f t="shared" si="7"/>
        <v>0</v>
      </c>
    </row>
    <row r="226" spans="1:15">
      <c r="A226" s="9" t="s">
        <v>229</v>
      </c>
      <c r="B226">
        <f>B225*(1+$CD$2)*(1+每日報酬率!B226)</f>
        <v>0</v>
      </c>
      <c r="C226">
        <f>C225*(1+$CD$2)*(1+每日報酬率!C226)</f>
        <v>0.15083009054254692</v>
      </c>
      <c r="D226">
        <f>D225*(1+$CD$2)*(1+每日報酬率!D226)</f>
        <v>1.5554041315633362</v>
      </c>
      <c r="E226">
        <f>E225*(1+$CD$2)*(1+每日報酬率!E226)</f>
        <v>0.11512842715007672</v>
      </c>
      <c r="F226">
        <f t="shared" si="6"/>
        <v>1.82136264925596</v>
      </c>
      <c r="K226" s="3">
        <f>IFERROR(G227/每日收盤價!B226,0)</f>
        <v>0</v>
      </c>
      <c r="L226" s="3">
        <f>IFERROR(H227/每日收盤價!C226,0)</f>
        <v>0</v>
      </c>
      <c r="M226" s="3">
        <f>IFERROR(I227/每日收盤價!D226,0)</f>
        <v>0</v>
      </c>
      <c r="N226" s="3">
        <f>IFERROR(J227/每日收盤價!E226,0)</f>
        <v>0</v>
      </c>
      <c r="O226">
        <f t="shared" si="7"/>
        <v>0</v>
      </c>
    </row>
    <row r="227" spans="1:15">
      <c r="A227" s="9" t="s">
        <v>230</v>
      </c>
      <c r="B227">
        <f>B226*(1+$CD$2)*(1+每日報酬率!B227)</f>
        <v>0</v>
      </c>
      <c r="C227">
        <f>C226*(1+$CD$2)*(1+每日報酬率!C227)</f>
        <v>0.14850962761112313</v>
      </c>
      <c r="D227">
        <f>D226*(1+$CD$2)*(1+每日報酬率!D227)</f>
        <v>1.5409352559208866</v>
      </c>
      <c r="E227">
        <f>E226*(1+$CD$2)*(1+每日報酬率!E227)</f>
        <v>0.11730066162460646</v>
      </c>
      <c r="F227">
        <f t="shared" si="6"/>
        <v>1.8067455451566161</v>
      </c>
      <c r="K227" s="3">
        <f>IFERROR(G228/每日收盤價!B227,0)</f>
        <v>0</v>
      </c>
      <c r="L227" s="3">
        <f>IFERROR(H228/每日收盤價!C227,0)</f>
        <v>0</v>
      </c>
      <c r="M227" s="3">
        <f>IFERROR(I228/每日收盤價!D227,0)</f>
        <v>0</v>
      </c>
      <c r="N227" s="3">
        <f>IFERROR(J228/每日收盤價!E227,0)</f>
        <v>0</v>
      </c>
      <c r="O227">
        <f t="shared" si="7"/>
        <v>0</v>
      </c>
    </row>
    <row r="228" spans="1:15">
      <c r="A228" s="9" t="s">
        <v>231</v>
      </c>
      <c r="B228">
        <f>B227*(1+$CD$2)*(1+每日報酬率!B228)</f>
        <v>0</v>
      </c>
      <c r="C228">
        <f>C227*(1+$CD$2)*(1+每日報酬率!C228)</f>
        <v>0.14618916467969933</v>
      </c>
      <c r="D228">
        <f>D227*(1+$CD$2)*(1+每日報酬率!D228)</f>
        <v>1.5119975046359873</v>
      </c>
      <c r="E228">
        <f>E227*(1+$CD$2)*(1+每日報酬率!E228)</f>
        <v>0.11730066162460646</v>
      </c>
      <c r="F228">
        <f t="shared" si="6"/>
        <v>1.775487330940293</v>
      </c>
      <c r="K228" s="3">
        <f>IFERROR(G229/每日收盤價!B228,0)</f>
        <v>0</v>
      </c>
      <c r="L228" s="3">
        <f>IFERROR(H229/每日收盤價!C228,0)</f>
        <v>0</v>
      </c>
      <c r="M228" s="3">
        <f>IFERROR(I229/每日收盤價!D228,0)</f>
        <v>3.8274038851674641E-3</v>
      </c>
      <c r="N228" s="3">
        <f>IFERROR(J229/每日收盤價!E228,0)</f>
        <v>0</v>
      </c>
      <c r="O228">
        <f t="shared" si="7"/>
        <v>3.8274038851674641E-3</v>
      </c>
    </row>
    <row r="229" spans="1:15">
      <c r="A229" s="9" t="s">
        <v>232</v>
      </c>
      <c r="B229">
        <f>B228*(1+$CD$2)*(1+每日報酬率!B229)</f>
        <v>0</v>
      </c>
      <c r="C229">
        <f>C228*(1+$CD$2)*(1+每日報酬率!C229)</f>
        <v>0.14580242085779535</v>
      </c>
      <c r="D229">
        <f>D228*(1+$CD$2)*(1+每日報酬率!D229)</f>
        <v>1.5337008180996616</v>
      </c>
      <c r="E229">
        <f>E228*(1+$CD$2)*(1+每日報酬率!E229)</f>
        <v>0.11990734299404215</v>
      </c>
      <c r="F229">
        <f t="shared" si="6"/>
        <v>1.7994105819514989</v>
      </c>
      <c r="I229" s="3">
        <v>3.99963706</v>
      </c>
      <c r="K229" s="3">
        <f>IFERROR(G230/每日收盤價!B229,0)</f>
        <v>0</v>
      </c>
      <c r="L229" s="3">
        <f>IFERROR(H230/每日收盤價!C229,0)</f>
        <v>0</v>
      </c>
      <c r="M229" s="3">
        <f>IFERROR(I230/每日收盤價!D229,0)</f>
        <v>0</v>
      </c>
      <c r="N229" s="3">
        <f>IFERROR(J230/每日收盤價!E229,0)</f>
        <v>0</v>
      </c>
      <c r="O229">
        <f t="shared" si="7"/>
        <v>0</v>
      </c>
    </row>
    <row r="230" spans="1:15">
      <c r="A230" s="9" t="s">
        <v>233</v>
      </c>
      <c r="B230">
        <f>B229*(1+$CD$2)*(1+每日報酬率!B230)</f>
        <v>0</v>
      </c>
      <c r="C230">
        <f>C229*(1+$CD$2)*(1+每日報酬率!C230)</f>
        <v>0.1442554455701795</v>
      </c>
      <c r="D230">
        <f>D229*(1+$CD$2)*(1+每日報酬率!D230)</f>
        <v>1.5409352559208864</v>
      </c>
      <c r="E230">
        <f>E229*(1+$CD$2)*(1+每日報酬率!E230)</f>
        <v>0.12251402436347786</v>
      </c>
      <c r="F230">
        <f t="shared" si="6"/>
        <v>1.8077047258545438</v>
      </c>
      <c r="K230" s="3">
        <f>IFERROR(G231/每日收盤價!B230,0)</f>
        <v>0</v>
      </c>
      <c r="L230" s="3">
        <f>IFERROR(H231/每日收盤價!C230,0)</f>
        <v>0</v>
      </c>
      <c r="M230" s="3">
        <f>IFERROR(I231/每日收盤價!D230,0)</f>
        <v>0</v>
      </c>
      <c r="N230" s="3">
        <f>IFERROR(J231/每日收盤價!E230,0)</f>
        <v>0</v>
      </c>
      <c r="O230">
        <f t="shared" si="7"/>
        <v>0</v>
      </c>
    </row>
    <row r="231" spans="1:15">
      <c r="A231" s="9" t="s">
        <v>234</v>
      </c>
      <c r="B231">
        <f>B230*(1+$CD$2)*(1+每日報酬率!B231)</f>
        <v>0</v>
      </c>
      <c r="C231">
        <f>C230*(1+$CD$2)*(1+每日報酬率!C231)</f>
        <v>0.14077475117304381</v>
      </c>
      <c r="D231">
        <f>D230*(1+$CD$2)*(1+每日報酬率!D231)</f>
        <v>1.5698730072057858</v>
      </c>
      <c r="E231">
        <f>E230*(1+$CD$2)*(1+每日報酬率!E231)</f>
        <v>0.12034178988894811</v>
      </c>
      <c r="F231">
        <f t="shared" si="6"/>
        <v>1.8309895482677776</v>
      </c>
      <c r="K231" s="3">
        <f>IFERROR(G232/每日收盤價!B231,0)</f>
        <v>0</v>
      </c>
      <c r="L231" s="3">
        <f>IFERROR(H232/每日收盤價!C231,0)</f>
        <v>0</v>
      </c>
      <c r="M231" s="3">
        <f>IFERROR(I232/每日收盤價!D231,0)</f>
        <v>0</v>
      </c>
      <c r="N231" s="3">
        <f>IFERROR(J232/每日收盤價!E231,0)</f>
        <v>0</v>
      </c>
      <c r="O231">
        <f t="shared" si="7"/>
        <v>0</v>
      </c>
    </row>
    <row r="232" spans="1:15">
      <c r="A232" s="9" t="s">
        <v>235</v>
      </c>
      <c r="B232">
        <f>B231*(1+$CD$2)*(1+每日報酬率!B232)</f>
        <v>0</v>
      </c>
      <c r="C232">
        <f>C231*(1+$CD$2)*(1+每日報酬率!C232)</f>
        <v>0.14154823881685175</v>
      </c>
      <c r="D232">
        <f>D231*(1+$CD$2)*(1+每日報酬率!D232)</f>
        <v>1.5554041315633362</v>
      </c>
      <c r="E232">
        <f>E231*(1+$CD$2)*(1+每日報酬率!E232)</f>
        <v>0.12381736504819571</v>
      </c>
      <c r="F232">
        <f t="shared" si="6"/>
        <v>1.8207697354283836</v>
      </c>
      <c r="K232" s="3">
        <f>IFERROR(G233/每日收盤價!B232,0)</f>
        <v>0</v>
      </c>
      <c r="L232" s="3">
        <f>IFERROR(H233/每日收盤價!C232,0)</f>
        <v>0</v>
      </c>
      <c r="M232" s="3">
        <f>IFERROR(I233/每日收盤價!D232,0)</f>
        <v>0</v>
      </c>
      <c r="N232" s="3">
        <f>IFERROR(J233/每日收盤價!E232,0)</f>
        <v>0</v>
      </c>
      <c r="O232">
        <f t="shared" si="7"/>
        <v>0</v>
      </c>
    </row>
    <row r="233" spans="1:15">
      <c r="A233" s="9" t="s">
        <v>236</v>
      </c>
      <c r="B233">
        <f>B232*(1+$CD$2)*(1+每日報酬率!B233)</f>
        <v>0</v>
      </c>
      <c r="C233">
        <f>C232*(1+$CD$2)*(1+每日報酬率!C233)</f>
        <v>0.14270847028256364</v>
      </c>
      <c r="D233">
        <f>D232*(1+$CD$2)*(1+每日報酬率!D233)</f>
        <v>1.5698730072057858</v>
      </c>
      <c r="E233">
        <f>E232*(1+$CD$2)*(1+每日報酬率!E233)</f>
        <v>0.12338291815328976</v>
      </c>
      <c r="F233">
        <f t="shared" si="6"/>
        <v>1.8359643956416392</v>
      </c>
      <c r="K233" s="3">
        <f>IFERROR(G234/每日收盤價!B233,0)</f>
        <v>0</v>
      </c>
      <c r="L233" s="3">
        <f>IFERROR(H234/每日收盤價!C233,0)</f>
        <v>0</v>
      </c>
      <c r="M233" s="3">
        <f>IFERROR(I234/每日收盤價!D233,0)</f>
        <v>0</v>
      </c>
      <c r="N233" s="3">
        <f>IFERROR(J234/每日收盤價!E233,0)</f>
        <v>0</v>
      </c>
      <c r="O233">
        <f t="shared" si="7"/>
        <v>0</v>
      </c>
    </row>
    <row r="234" spans="1:15">
      <c r="A234" s="9" t="s">
        <v>237</v>
      </c>
      <c r="B234">
        <f>B233*(1+$CD$2)*(1+每日報酬率!B234)</f>
        <v>0</v>
      </c>
      <c r="C234">
        <f>C233*(1+$CD$2)*(1+每日報酬率!C234)</f>
        <v>0.14000126352923589</v>
      </c>
      <c r="D234">
        <f>D233*(1+$CD$2)*(1+每日報酬率!D234)</f>
        <v>1.5481696937421112</v>
      </c>
      <c r="E234">
        <f>E233*(1+$CD$2)*(1+每日報酬率!E234)</f>
        <v>0.12338291815328976</v>
      </c>
      <c r="F234">
        <f t="shared" si="6"/>
        <v>1.8115538754246368</v>
      </c>
      <c r="K234" s="3">
        <f>IFERROR(G235/每日收盤價!B234,0)</f>
        <v>0</v>
      </c>
      <c r="L234" s="3">
        <f>IFERROR(H235/每日收盤價!C234,0)</f>
        <v>0</v>
      </c>
      <c r="M234" s="3">
        <f>IFERROR(I235/每日收盤價!D234,0)</f>
        <v>0</v>
      </c>
      <c r="N234" s="3">
        <f>IFERROR(J235/每日收盤價!E234,0)</f>
        <v>0</v>
      </c>
      <c r="O234">
        <f t="shared" si="7"/>
        <v>0</v>
      </c>
    </row>
    <row r="235" spans="1:15">
      <c r="A235" s="9" t="s">
        <v>238</v>
      </c>
      <c r="B235">
        <f>B234*(1+$CD$2)*(1+每日報酬率!B235)</f>
        <v>0</v>
      </c>
      <c r="C235">
        <f>C234*(1+$CD$2)*(1+每日報酬率!C235)</f>
        <v>0.14000126352923589</v>
      </c>
      <c r="D235">
        <f>D234*(1+$CD$2)*(1+每日報酬率!D235)</f>
        <v>1.4975286289935377</v>
      </c>
      <c r="E235">
        <f>E234*(1+$CD$2)*(1+每日報酬率!E235)</f>
        <v>0.12077623678385407</v>
      </c>
      <c r="F235">
        <f t="shared" si="6"/>
        <v>1.7583061293066276</v>
      </c>
      <c r="K235" s="3">
        <f>IFERROR(G236/每日收盤價!B235,0)</f>
        <v>0</v>
      </c>
      <c r="L235" s="3">
        <f>IFERROR(H236/每日收盤價!C235,0)</f>
        <v>0</v>
      </c>
      <c r="M235" s="3">
        <f>IFERROR(I236/每日收盤價!D235,0)</f>
        <v>0</v>
      </c>
      <c r="N235" s="3">
        <f>IFERROR(J236/每日收盤價!E235,0)</f>
        <v>0</v>
      </c>
      <c r="O235">
        <f t="shared" si="7"/>
        <v>0</v>
      </c>
    </row>
    <row r="236" spans="1:15">
      <c r="A236" s="9" t="s">
        <v>239</v>
      </c>
      <c r="B236">
        <f>B235*(1+$CD$2)*(1+每日報酬率!B236)</f>
        <v>0</v>
      </c>
      <c r="C236">
        <f>C235*(1+$CD$2)*(1+每日報酬率!C236)</f>
        <v>0.14348195792637161</v>
      </c>
      <c r="D236">
        <f>D235*(1+$CD$2)*(1+每日報酬率!D236)</f>
        <v>1.562638569384561</v>
      </c>
      <c r="E236">
        <f>E235*(1+$CD$2)*(1+每日報酬率!E236)</f>
        <v>0.12251402436347786</v>
      </c>
      <c r="F236">
        <f t="shared" si="6"/>
        <v>1.8286345516744105</v>
      </c>
      <c r="K236" s="3">
        <f>IFERROR(G237/每日收盤價!B236,0)</f>
        <v>0</v>
      </c>
      <c r="L236" s="3">
        <f>IFERROR(H237/每日收盤價!C236,0)</f>
        <v>0</v>
      </c>
      <c r="M236" s="3">
        <f>IFERROR(I237/每日收盤價!D236,0)</f>
        <v>0</v>
      </c>
      <c r="N236" s="3">
        <f>IFERROR(J237/每日收盤價!E236,0)</f>
        <v>0</v>
      </c>
      <c r="O236">
        <f t="shared" si="7"/>
        <v>0</v>
      </c>
    </row>
    <row r="237" spans="1:15">
      <c r="A237" s="9" t="s">
        <v>240</v>
      </c>
      <c r="B237">
        <f>B236*(1+$CD$2)*(1+每日報酬率!B237)</f>
        <v>0</v>
      </c>
      <c r="C237">
        <f>C236*(1+$CD$2)*(1+每日報酬率!C237)</f>
        <v>0.14348195792637161</v>
      </c>
      <c r="D237">
        <f>D236*(1+$CD$2)*(1+每日報酬率!D237)</f>
        <v>1.562638569384561</v>
      </c>
      <c r="E237">
        <f>E236*(1+$CD$2)*(1+每日報酬率!E237)</f>
        <v>0.12207957746857191</v>
      </c>
      <c r="F237">
        <f t="shared" si="6"/>
        <v>1.8282001047795045</v>
      </c>
      <c r="K237" s="3">
        <f>IFERROR(G238/每日收盤價!B237,0)</f>
        <v>0</v>
      </c>
      <c r="L237" s="3">
        <f>IFERROR(H238/每日收盤價!C237,0)</f>
        <v>0</v>
      </c>
      <c r="M237" s="3">
        <f>IFERROR(I238/每日收盤價!D237,0)</f>
        <v>0</v>
      </c>
      <c r="N237" s="3">
        <f>IFERROR(J238/每日收盤價!E237,0)</f>
        <v>0</v>
      </c>
      <c r="O237">
        <f t="shared" si="7"/>
        <v>0</v>
      </c>
    </row>
    <row r="238" spans="1:15">
      <c r="A238" s="9" t="s">
        <v>241</v>
      </c>
      <c r="B238">
        <f>B237*(1+$CD$2)*(1+每日報酬率!B238)</f>
        <v>0</v>
      </c>
      <c r="C238">
        <f>C237*(1+$CD$2)*(1+每日報酬率!C238)</f>
        <v>0.14425544557017955</v>
      </c>
      <c r="D238">
        <f>D237*(1+$CD$2)*(1+每日報酬率!D238)</f>
        <v>1.5698730072057856</v>
      </c>
      <c r="E238">
        <f>E237*(1+$CD$2)*(1+每日報酬率!E238)</f>
        <v>0.12251402436347787</v>
      </c>
      <c r="F238">
        <f t="shared" si="6"/>
        <v>1.8366424771394432</v>
      </c>
      <c r="K238" s="3">
        <f>IFERROR(G239/每日收盤價!B238,0)</f>
        <v>0</v>
      </c>
      <c r="L238" s="3">
        <f>IFERROR(H239/每日收盤價!C238,0)</f>
        <v>0</v>
      </c>
      <c r="M238" s="3">
        <f>IFERROR(I239/每日收盤價!D238,0)</f>
        <v>0</v>
      </c>
      <c r="N238" s="3">
        <f>IFERROR(J239/每日收盤價!E238,0)</f>
        <v>0</v>
      </c>
      <c r="O238">
        <f t="shared" si="7"/>
        <v>0</v>
      </c>
    </row>
    <row r="239" spans="1:15">
      <c r="A239" s="9" t="s">
        <v>242</v>
      </c>
      <c r="B239">
        <f>B238*(1+$CD$2)*(1+每日報酬率!B239)</f>
        <v>0</v>
      </c>
      <c r="C239">
        <f>C238*(1+$CD$2)*(1+每日報酬率!C239)</f>
        <v>0.14502893321398749</v>
      </c>
      <c r="D239">
        <f>D238*(1+$CD$2)*(1+每日報酬率!D239)</f>
        <v>1.5698730072057856</v>
      </c>
      <c r="E239">
        <f>E238*(1+$CD$2)*(1+每日報酬率!E239)</f>
        <v>0.12338291815328976</v>
      </c>
      <c r="F239">
        <f t="shared" si="6"/>
        <v>1.8382848585730629</v>
      </c>
      <c r="K239" s="3">
        <f>IFERROR(G240/每日收盤價!B239,0)</f>
        <v>0</v>
      </c>
      <c r="L239" s="3">
        <f>IFERROR(H240/每日收盤價!C239,0)</f>
        <v>0</v>
      </c>
      <c r="M239" s="3">
        <f>IFERROR(I240/每日收盤價!D239,0)</f>
        <v>0</v>
      </c>
      <c r="N239" s="3">
        <f>IFERROR(J240/每日收盤價!E239,0)</f>
        <v>0</v>
      </c>
      <c r="O239">
        <f t="shared" si="7"/>
        <v>0</v>
      </c>
    </row>
    <row r="240" spans="1:15">
      <c r="A240" s="9" t="s">
        <v>243</v>
      </c>
      <c r="B240">
        <f>B239*(1+$CD$2)*(1+每日報酬率!B240)</f>
        <v>0</v>
      </c>
      <c r="C240">
        <f>C239*(1+$CD$2)*(1+每日報酬率!C240)</f>
        <v>0.14425544557017955</v>
      </c>
      <c r="D240">
        <f>D239*(1+$CD$2)*(1+每日報酬率!D240)</f>
        <v>1.5771074450270106</v>
      </c>
      <c r="E240">
        <f>E239*(1+$CD$2)*(1+每日報酬率!E240)</f>
        <v>0.12425181194310166</v>
      </c>
      <c r="F240">
        <f t="shared" si="6"/>
        <v>1.845614702540292</v>
      </c>
      <c r="K240" s="3">
        <f>IFERROR(G241/每日收盤價!B240,0)</f>
        <v>0</v>
      </c>
      <c r="L240" s="3">
        <f>IFERROR(H241/每日收盤價!C240,0)</f>
        <v>0</v>
      </c>
      <c r="M240" s="3">
        <f>IFERROR(I241/每日收盤價!D240,0)</f>
        <v>0</v>
      </c>
      <c r="N240" s="3">
        <f>IFERROR(J241/每日收盤價!E240,0)</f>
        <v>0</v>
      </c>
      <c r="O240">
        <f t="shared" si="7"/>
        <v>0</v>
      </c>
    </row>
    <row r="241" spans="1:15">
      <c r="A241" s="9" t="s">
        <v>244</v>
      </c>
      <c r="B241">
        <f>B240*(1+$CD$2)*(1+每日報酬率!B241)</f>
        <v>0</v>
      </c>
      <c r="C241">
        <f>C240*(1+$CD$2)*(1+每日報酬率!C241)</f>
        <v>0.14309521410446766</v>
      </c>
      <c r="D241">
        <f>D240*(1+$CD$2)*(1+每日報酬率!D241)</f>
        <v>1.5771074450270106</v>
      </c>
      <c r="E241">
        <f>E240*(1+$CD$2)*(1+每日報酬率!E241)</f>
        <v>0.12338291815328976</v>
      </c>
      <c r="F241">
        <f t="shared" si="6"/>
        <v>1.843585577284768</v>
      </c>
      <c r="K241" s="3">
        <f>IFERROR(G242/每日收盤價!B241,0)</f>
        <v>0</v>
      </c>
      <c r="L241" s="3">
        <f>IFERROR(H242/每日收盤價!C241,0)</f>
        <v>0</v>
      </c>
      <c r="M241" s="3">
        <f>IFERROR(I242/每日收盤價!D241,0)</f>
        <v>0</v>
      </c>
      <c r="N241" s="3">
        <f>IFERROR(J242/每日收盤價!E241,0)</f>
        <v>0</v>
      </c>
      <c r="O241">
        <f t="shared" si="7"/>
        <v>0</v>
      </c>
    </row>
    <row r="242" spans="1:15">
      <c r="A242" s="9" t="s">
        <v>245</v>
      </c>
      <c r="B242">
        <f>B241*(1+$CD$2)*(1+每日報酬率!B242)</f>
        <v>0</v>
      </c>
      <c r="C242">
        <f>C241*(1+$CD$2)*(1+每日報酬率!C242)</f>
        <v>0.14232172646065974</v>
      </c>
      <c r="D242">
        <f>D241*(1+$CD$2)*(1+每日報酬率!D242)</f>
        <v>1.555404131563336</v>
      </c>
      <c r="E242">
        <f>E241*(1+$CD$2)*(1+每日報酬率!E242)</f>
        <v>0.12294847125838382</v>
      </c>
      <c r="F242">
        <f t="shared" si="6"/>
        <v>1.8206743292823795</v>
      </c>
      <c r="K242" s="3">
        <f>IFERROR(G243/每日收盤價!B242,0)</f>
        <v>0</v>
      </c>
      <c r="L242" s="3">
        <f>IFERROR(H243/每日收盤價!C242,0)</f>
        <v>0</v>
      </c>
      <c r="M242" s="3">
        <f>IFERROR(I243/每日收盤價!D242,0)</f>
        <v>0</v>
      </c>
      <c r="N242" s="3">
        <f>IFERROR(J243/每日收盤價!E242,0)</f>
        <v>2.0494699646643109E-2</v>
      </c>
      <c r="O242">
        <f t="shared" si="7"/>
        <v>2.0494699646643109E-2</v>
      </c>
    </row>
    <row r="243" spans="1:15">
      <c r="A243" s="9" t="s">
        <v>246</v>
      </c>
      <c r="B243">
        <f>B242*(1+$CD$2)*(1+每日報酬率!B243)</f>
        <v>0</v>
      </c>
      <c r="C243">
        <f>C242*(1+$CD$2)*(1+每日報酬率!C243)</f>
        <v>0.14116149499494784</v>
      </c>
      <c r="D243">
        <f>D242*(1+$CD$2)*(1+每日報酬率!D243)</f>
        <v>1.5409352559208864</v>
      </c>
      <c r="E243">
        <f>E242*(1+$CD$2)*(1+每日報酬率!E243)</f>
        <v>0.11730066162460646</v>
      </c>
      <c r="F243">
        <f t="shared" si="6"/>
        <v>1.7993974125404406</v>
      </c>
      <c r="J243" s="3">
        <v>29</v>
      </c>
      <c r="K243" s="3">
        <f>IFERROR(G244/每日收盤價!B243,0)</f>
        <v>0</v>
      </c>
      <c r="L243" s="3">
        <f>IFERROR(H244/每日收盤價!C243,0)</f>
        <v>0</v>
      </c>
      <c r="M243" s="3">
        <f>IFERROR(I244/每日收盤價!D243,0)</f>
        <v>0</v>
      </c>
      <c r="N243" s="3">
        <f>IFERROR(J244/每日收盤價!E243,0)</f>
        <v>0</v>
      </c>
      <c r="O243">
        <f t="shared" si="7"/>
        <v>0</v>
      </c>
    </row>
    <row r="244" spans="1:15">
      <c r="A244" s="9" t="s">
        <v>247</v>
      </c>
      <c r="B244">
        <f>B243*(1+$CD$2)*(1+每日報酬率!B244)</f>
        <v>0</v>
      </c>
      <c r="C244">
        <f>C243*(1+$CD$2)*(1+每日報酬率!C244)</f>
        <v>0.14000126352923595</v>
      </c>
      <c r="D244">
        <f>D243*(1+$CD$2)*(1+每日報酬率!D244)</f>
        <v>1.555404131563336</v>
      </c>
      <c r="E244">
        <f>E243*(1+$CD$2)*(1+每日報酬率!E244)</f>
        <v>0.1186040023093243</v>
      </c>
      <c r="F244">
        <f t="shared" si="6"/>
        <v>1.8140093974018963</v>
      </c>
      <c r="K244" s="3">
        <f>IFERROR(G245/每日收盤價!B244,0)</f>
        <v>0</v>
      </c>
      <c r="L244" s="3">
        <f>IFERROR(H245/每日收盤價!C244,0)</f>
        <v>0</v>
      </c>
      <c r="M244" s="3">
        <f>IFERROR(I245/每日收盤價!D244,0)</f>
        <v>0</v>
      </c>
      <c r="N244" s="3">
        <f>IFERROR(J245/每日收盤價!E244,0)</f>
        <v>0</v>
      </c>
      <c r="O244">
        <f t="shared" si="7"/>
        <v>0</v>
      </c>
    </row>
    <row r="245" spans="1:15">
      <c r="A245" s="9" t="s">
        <v>248</v>
      </c>
      <c r="B245">
        <f>B244*(1+$CD$2)*(1+每日報酬率!B245)</f>
        <v>0</v>
      </c>
      <c r="C245">
        <f>C244*(1+$CD$2)*(1+每日報酬率!C245)</f>
        <v>0.14270847028256373</v>
      </c>
      <c r="D245">
        <f>D244*(1+$CD$2)*(1+每日報酬率!D245)</f>
        <v>1.6277485097755844</v>
      </c>
      <c r="E245">
        <f>E244*(1+$CD$2)*(1+每日報酬率!E245)</f>
        <v>0.12381736504819571</v>
      </c>
      <c r="F245">
        <f t="shared" si="6"/>
        <v>1.894274345106344</v>
      </c>
      <c r="K245" s="3">
        <f>IFERROR(G246/每日收盤價!B245,0)</f>
        <v>0</v>
      </c>
      <c r="L245" s="3">
        <f>IFERROR(H246/每日收盤價!C245,0)</f>
        <v>0</v>
      </c>
      <c r="M245" s="3">
        <f>IFERROR(I246/每日收盤價!D245,0)</f>
        <v>0</v>
      </c>
      <c r="N245" s="3">
        <f>IFERROR(J246/每日收盤價!E245,0)</f>
        <v>0</v>
      </c>
      <c r="O245">
        <f t="shared" si="7"/>
        <v>0</v>
      </c>
    </row>
    <row r="246" spans="1:15">
      <c r="A246" s="9" t="s">
        <v>249</v>
      </c>
      <c r="B246">
        <f>B245*(1+$CD$2)*(1+每日報酬率!B246)</f>
        <v>0</v>
      </c>
      <c r="C246">
        <f>C245*(1+$CD$2)*(1+每日報酬率!C246)</f>
        <v>0.14696265232350736</v>
      </c>
      <c r="D246">
        <f>D245*(1+$CD$2)*(1+每日報酬率!D246)</f>
        <v>1.6349829475968092</v>
      </c>
      <c r="E246">
        <f>E245*(1+$CD$2)*(1+每日報酬率!E246)</f>
        <v>0.12946517468197305</v>
      </c>
      <c r="F246">
        <f t="shared" si="6"/>
        <v>1.9114107746022895</v>
      </c>
      <c r="K246" s="3">
        <f>IFERROR(G247/每日收盤價!B246,0)</f>
        <v>0</v>
      </c>
      <c r="L246" s="3">
        <f>IFERROR(H247/每日收盤價!C246,0)</f>
        <v>0</v>
      </c>
      <c r="M246" s="3">
        <f>IFERROR(I247/每日收盤價!D246,0)</f>
        <v>0</v>
      </c>
      <c r="N246" s="3">
        <f>IFERROR(J247/每日收盤價!E246,0)</f>
        <v>0</v>
      </c>
      <c r="O246">
        <f t="shared" si="7"/>
        <v>0</v>
      </c>
    </row>
    <row r="247" spans="1:15">
      <c r="A247" s="9" t="s">
        <v>250</v>
      </c>
      <c r="B247">
        <f>B246*(1+$CD$2)*(1+每日報酬率!B247)</f>
        <v>0</v>
      </c>
      <c r="C247">
        <f>C246*(1+$CD$2)*(1+每日報酬率!C247)</f>
        <v>0.14541567703589148</v>
      </c>
      <c r="D247">
        <f>D246*(1+$CD$2)*(1+每日報酬率!D247)</f>
        <v>1.598810758490685</v>
      </c>
      <c r="E247">
        <f>E246*(1+$CD$2)*(1+每日報酬率!E247)</f>
        <v>0.12772738710234927</v>
      </c>
      <c r="F247">
        <f t="shared" si="6"/>
        <v>1.8719538226289256</v>
      </c>
      <c r="K247" s="3">
        <f>IFERROR(G248/每日收盤價!B247,0)</f>
        <v>0</v>
      </c>
      <c r="L247" s="3">
        <f>IFERROR(H248/每日收盤價!C247,0)</f>
        <v>0</v>
      </c>
      <c r="M247" s="3">
        <f>IFERROR(I248/每日收盤價!D247,0)</f>
        <v>0</v>
      </c>
      <c r="N247" s="3">
        <f>IFERROR(J248/每日收盤價!E247,0)</f>
        <v>0</v>
      </c>
      <c r="O247">
        <f t="shared" si="7"/>
        <v>0</v>
      </c>
    </row>
    <row r="248" spans="1:15">
      <c r="A248" s="9" t="s">
        <v>251</v>
      </c>
      <c r="B248">
        <f>B247*(1+$CD$2)*(1+每日報酬率!B248)</f>
        <v>0</v>
      </c>
      <c r="C248">
        <f>C247*(1+$CD$2)*(1+每日報酬率!C248)</f>
        <v>0.14154823881685183</v>
      </c>
      <c r="D248">
        <f>D247*(1+$CD$2)*(1+每日報酬率!D248)</f>
        <v>1.5915763206694602</v>
      </c>
      <c r="E248">
        <f>E247*(1+$CD$2)*(1+每日報酬率!E248)</f>
        <v>0.12512070573291356</v>
      </c>
      <c r="F248">
        <f t="shared" si="6"/>
        <v>1.8582452652192256</v>
      </c>
      <c r="K248" s="3">
        <f>IFERROR(G249/每日收盤價!B248,0)</f>
        <v>0</v>
      </c>
      <c r="L248" s="3">
        <f>IFERROR(H249/每日收盤價!C248,0)</f>
        <v>0</v>
      </c>
      <c r="M248" s="3">
        <f>IFERROR(I249/每日收盤價!D248,0)</f>
        <v>0</v>
      </c>
      <c r="N248" s="3">
        <f>IFERROR(J249/每日收盤價!E248,0)</f>
        <v>0</v>
      </c>
      <c r="O248">
        <f t="shared" si="7"/>
        <v>0</v>
      </c>
    </row>
    <row r="249" spans="1:15">
      <c r="A249" s="9" t="s">
        <v>252</v>
      </c>
      <c r="B249">
        <f>B248*(1+$CD$2)*(1+每日報酬率!B249)</f>
        <v>0</v>
      </c>
      <c r="C249">
        <f>C248*(1+$CD$2)*(1+每日報酬率!C249)</f>
        <v>0.14038800735113993</v>
      </c>
      <c r="D249">
        <f>D248*(1+$CD$2)*(1+每日報酬率!D249)</f>
        <v>1.5915763206694602</v>
      </c>
      <c r="E249">
        <f>E248*(1+$CD$2)*(1+每日報酬率!E249)</f>
        <v>0.12729294020744331</v>
      </c>
      <c r="F249">
        <f t="shared" si="6"/>
        <v>1.8592572682280433</v>
      </c>
      <c r="K249" s="3">
        <f>IFERROR(G250/每日收盤價!B249,0)</f>
        <v>0</v>
      </c>
      <c r="L249" s="3">
        <f>IFERROR(H250/每日收盤價!C249,0)</f>
        <v>0</v>
      </c>
      <c r="M249" s="3">
        <f>IFERROR(I250/每日收盤價!D249,0)</f>
        <v>0</v>
      </c>
      <c r="N249" s="3">
        <f>IFERROR(J250/每日收盤價!E249,0)</f>
        <v>0</v>
      </c>
      <c r="O249">
        <f t="shared" si="7"/>
        <v>0</v>
      </c>
    </row>
    <row r="250" spans="1:15">
      <c r="A250" s="9" t="s">
        <v>253</v>
      </c>
      <c r="B250">
        <f>B249*(1+$CD$2)*(1+每日報酬率!B250)</f>
        <v>0</v>
      </c>
      <c r="C250">
        <f>C249*(1+$CD$2)*(1+每日報酬率!C250)</f>
        <v>0.13265313091306061</v>
      </c>
      <c r="D250">
        <f>D249*(1+$CD$2)*(1+每日報酬率!D250)</f>
        <v>1.5554041315633362</v>
      </c>
      <c r="E250">
        <f>E249*(1+$CD$2)*(1+每日報酬率!E250)</f>
        <v>0.12077623678385406</v>
      </c>
      <c r="F250">
        <f t="shared" si="6"/>
        <v>1.8088334992602508</v>
      </c>
      <c r="K250" s="3">
        <f>IFERROR(G251/每日收盤價!B250,0)</f>
        <v>0</v>
      </c>
      <c r="L250" s="3">
        <f>IFERROR(H251/每日收盤價!C250,0)</f>
        <v>0</v>
      </c>
      <c r="M250" s="3">
        <f>IFERROR(I251/每日收盤價!D250,0)</f>
        <v>0</v>
      </c>
      <c r="N250" s="3">
        <f>IFERROR(J251/每日收盤價!E250,0)</f>
        <v>0</v>
      </c>
      <c r="O250">
        <f t="shared" si="7"/>
        <v>0</v>
      </c>
    </row>
    <row r="251" spans="1:15">
      <c r="A251" s="9" t="s">
        <v>254</v>
      </c>
      <c r="B251">
        <f>B250*(1+$CD$2)*(1+每日報酬率!B251)</f>
        <v>0</v>
      </c>
      <c r="C251">
        <f>C250*(1+$CD$2)*(1+每日報酬率!C251)</f>
        <v>0.1349735938444844</v>
      </c>
      <c r="D251">
        <f>D250*(1+$CD$2)*(1+每日報酬率!D251)</f>
        <v>1.5771074450270108</v>
      </c>
      <c r="E251">
        <f>E250*(1+$CD$2)*(1+每日報酬率!E251)</f>
        <v>0.12164513057366595</v>
      </c>
      <c r="F251">
        <f t="shared" si="6"/>
        <v>1.8337261694451612</v>
      </c>
      <c r="K251" s="3">
        <f>IFERROR(G252/每日收盤價!B251,0)</f>
        <v>0</v>
      </c>
      <c r="L251" s="3">
        <f>IFERROR(H252/每日收盤價!C251,0)</f>
        <v>0</v>
      </c>
      <c r="M251" s="3">
        <f>IFERROR(I252/每日收盤價!D251,0)</f>
        <v>0</v>
      </c>
      <c r="N251" s="3">
        <f>IFERROR(J252/每日收盤價!E251,0)</f>
        <v>0</v>
      </c>
      <c r="O251">
        <f t="shared" si="7"/>
        <v>0</v>
      </c>
    </row>
    <row r="252" spans="1:15">
      <c r="A252" s="9" t="s">
        <v>255</v>
      </c>
      <c r="B252">
        <f>B251*(1+$CD$2)*(1+每日報酬率!B252)</f>
        <v>0</v>
      </c>
      <c r="C252">
        <f>C251*(1+$CD$2)*(1+每日報酬率!C252)</f>
        <v>0.13226638709115665</v>
      </c>
      <c r="D252">
        <f>D251*(1+$CD$2)*(1+每日報酬率!D252)</f>
        <v>1.5409352559208869</v>
      </c>
      <c r="E252">
        <f>E251*(1+$CD$2)*(1+每日報酬率!E252)</f>
        <v>0.12338291815328975</v>
      </c>
      <c r="F252">
        <f t="shared" si="6"/>
        <v>1.7965845611653333</v>
      </c>
      <c r="K252" s="3">
        <f>IFERROR(G253/每日收盤價!B252,0)</f>
        <v>0</v>
      </c>
      <c r="L252" s="3">
        <f>IFERROR(H253/每日收盤價!C252,0)</f>
        <v>0</v>
      </c>
      <c r="M252" s="3">
        <f>IFERROR(I253/每日收盤價!D252,0)</f>
        <v>0</v>
      </c>
      <c r="N252" s="3">
        <f>IFERROR(J253/每日收盤價!E252,0)</f>
        <v>0</v>
      </c>
      <c r="O252">
        <f t="shared" si="7"/>
        <v>0</v>
      </c>
    </row>
    <row r="253" spans="1:15">
      <c r="A253" s="9" t="s">
        <v>256</v>
      </c>
      <c r="B253">
        <f>B252*(1+$CD$2)*(1+每日報酬率!B253)</f>
        <v>0</v>
      </c>
      <c r="C253">
        <f>C252*(1+$CD$2)*(1+每日報酬率!C253)</f>
        <v>0.13420010620067649</v>
      </c>
      <c r="D253">
        <f>D252*(1+$CD$2)*(1+每日報酬率!D253)</f>
        <v>1.5988107584906857</v>
      </c>
      <c r="E253">
        <f>E252*(1+$CD$2)*(1+每日報酬率!E253)</f>
        <v>0.12685849331253735</v>
      </c>
      <c r="F253">
        <f t="shared" si="6"/>
        <v>1.8598693580038996</v>
      </c>
      <c r="K253" s="3">
        <f>IFERROR(G254/每日收盤價!B253,0)</f>
        <v>0</v>
      </c>
      <c r="L253" s="3">
        <f>IFERROR(H254/每日收盤價!C253,0)</f>
        <v>0</v>
      </c>
      <c r="M253" s="3">
        <f>IFERROR(I254/每日收盤價!D253,0)</f>
        <v>0</v>
      </c>
      <c r="N253" s="3">
        <f>IFERROR(J254/每日收盤價!E253,0)</f>
        <v>0</v>
      </c>
      <c r="O253">
        <f t="shared" si="7"/>
        <v>0</v>
      </c>
    </row>
    <row r="254" spans="1:15">
      <c r="A254" s="9" t="s">
        <v>257</v>
      </c>
      <c r="B254">
        <f>B253*(1+$CD$2)*(1+每日報酬率!B254)</f>
        <v>0</v>
      </c>
      <c r="C254">
        <f>C253*(1+$CD$2)*(1+每日報酬率!C254)</f>
        <v>0.13420010620067649</v>
      </c>
      <c r="D254">
        <f>D253*(1+$CD$2)*(1+每日報酬率!D254)</f>
        <v>1.62051407195436</v>
      </c>
      <c r="E254">
        <f>E253*(1+$CD$2)*(1+每日報酬率!E254)</f>
        <v>0.12425181194310166</v>
      </c>
      <c r="F254">
        <f t="shared" si="6"/>
        <v>1.8789659900981384</v>
      </c>
      <c r="K254" s="3">
        <f>IFERROR(G255/每日收盤價!B254,0)</f>
        <v>0</v>
      </c>
      <c r="L254" s="3">
        <f>IFERROR(H255/每日收盤價!C254,0)</f>
        <v>0</v>
      </c>
      <c r="M254" s="3">
        <f>IFERROR(I255/每日收盤價!D254,0)</f>
        <v>0</v>
      </c>
      <c r="N254" s="3">
        <f>IFERROR(J255/每日收盤價!E254,0)</f>
        <v>0</v>
      </c>
      <c r="O254">
        <f t="shared" si="7"/>
        <v>0</v>
      </c>
    </row>
    <row r="255" spans="1:15">
      <c r="A255" s="9" t="s">
        <v>258</v>
      </c>
      <c r="B255">
        <f>B254*(1+$CD$2)*(1+每日報酬率!B255)</f>
        <v>0</v>
      </c>
      <c r="C255">
        <f>C254*(1+$CD$2)*(1+每日報酬率!C255)</f>
        <v>0.13768080059781218</v>
      </c>
      <c r="D255">
        <f>D254*(1+$CD$2)*(1+每日報酬率!D255)</f>
        <v>1.62051407195436</v>
      </c>
      <c r="E255">
        <f>E254*(1+$CD$2)*(1+每日報酬率!E255)</f>
        <v>0.12555515262781949</v>
      </c>
      <c r="F255">
        <f t="shared" si="6"/>
        <v>1.8837500251799919</v>
      </c>
      <c r="K255" s="3">
        <f>IFERROR(G256/每日收盤價!B255,0)</f>
        <v>0</v>
      </c>
      <c r="L255" s="3">
        <f>IFERROR(H256/每日收盤價!C255,0)</f>
        <v>0</v>
      </c>
      <c r="M255" s="3">
        <f>IFERROR(I256/每日收盤價!D255,0)</f>
        <v>0</v>
      </c>
      <c r="N255" s="3">
        <f>IFERROR(J256/每日收盤價!E255,0)</f>
        <v>0</v>
      </c>
      <c r="O255">
        <f t="shared" si="7"/>
        <v>0</v>
      </c>
    </row>
    <row r="256" spans="1:15">
      <c r="A256" s="9" t="s">
        <v>259</v>
      </c>
      <c r="B256">
        <f>B255*(1+$CD$2)*(1+每日報酬率!B256)</f>
        <v>0</v>
      </c>
      <c r="C256">
        <f>C255*(1+$CD$2)*(1+每日報酬率!C256)</f>
        <v>0.13806754441971616</v>
      </c>
      <c r="D256">
        <f>D255*(1+$CD$2)*(1+每日報酬率!D256)</f>
        <v>1.62051407195436</v>
      </c>
      <c r="E256">
        <f>E255*(1+$CD$2)*(1+每日報酬率!E256)</f>
        <v>0.12729294020744331</v>
      </c>
      <c r="F256">
        <f t="shared" si="6"/>
        <v>1.8858745565815194</v>
      </c>
      <c r="K256" s="3">
        <f>IFERROR(G257/每日收盤價!B256,0)</f>
        <v>0</v>
      </c>
      <c r="L256" s="3">
        <f>IFERROR(H257/每日收盤價!C256,0)</f>
        <v>0</v>
      </c>
      <c r="M256" s="3">
        <f>IFERROR(I257/每日收盤價!D256,0)</f>
        <v>0</v>
      </c>
      <c r="N256" s="3">
        <f>IFERROR(J257/每日收盤價!E256,0)</f>
        <v>0</v>
      </c>
      <c r="O256">
        <f t="shared" si="7"/>
        <v>0</v>
      </c>
    </row>
    <row r="257" spans="1:15">
      <c r="A257" s="9" t="s">
        <v>260</v>
      </c>
      <c r="B257">
        <f>B256*(1+$CD$2)*(1+每日報酬率!B257)</f>
        <v>0</v>
      </c>
      <c r="C257">
        <f>C256*(1+$CD$2)*(1+每日報酬率!C257)</f>
        <v>0.13922777588542806</v>
      </c>
      <c r="D257">
        <f>D256*(1+$CD$2)*(1+每日報酬率!D257)</f>
        <v>1.6422173854180346</v>
      </c>
      <c r="E257">
        <f>E256*(1+$CD$2)*(1+每日報酬率!E257)</f>
        <v>0.12729294020744331</v>
      </c>
      <c r="F257">
        <f t="shared" si="6"/>
        <v>1.9087381015109059</v>
      </c>
      <c r="K257" s="3">
        <f>IFERROR(G258/每日收盤價!B257,0)</f>
        <v>0</v>
      </c>
      <c r="L257" s="3">
        <f>IFERROR(H258/每日收盤價!C257,0)</f>
        <v>0</v>
      </c>
      <c r="M257" s="3">
        <f>IFERROR(I258/每日收盤價!D257,0)</f>
        <v>0</v>
      </c>
      <c r="N257" s="3">
        <f>IFERROR(J258/每日收盤價!E257,0)</f>
        <v>0</v>
      </c>
      <c r="O257">
        <f t="shared" si="7"/>
        <v>0</v>
      </c>
    </row>
    <row r="258" spans="1:15">
      <c r="A258" s="9" t="s">
        <v>261</v>
      </c>
      <c r="B258">
        <f>B257*(1+$CD$2)*(1+每日報酬率!B258)</f>
        <v>0</v>
      </c>
      <c r="C258">
        <f>C257*(1+$CD$2)*(1+每日報酬率!C258)</f>
        <v>0.12801220505021302</v>
      </c>
      <c r="D258">
        <f>D257*(1+$CD$2)*(1+每日報酬率!D258)</f>
        <v>1.5481696937421119</v>
      </c>
      <c r="E258">
        <f>E257*(1+$CD$2)*(1+每日報酬率!E258)</f>
        <v>0.13033406847178494</v>
      </c>
      <c r="F258">
        <f t="shared" si="6"/>
        <v>1.8065159672641098</v>
      </c>
      <c r="K258" s="3">
        <f>IFERROR(G259/每日收盤價!B258,0)</f>
        <v>0</v>
      </c>
      <c r="L258" s="3">
        <f>IFERROR(H259/每日收盤價!C258,0)</f>
        <v>0</v>
      </c>
      <c r="M258" s="3">
        <f>IFERROR(I259/每日收盤價!D258,0)</f>
        <v>0</v>
      </c>
      <c r="N258" s="3">
        <f>IFERROR(J259/每日收盤價!E258,0)</f>
        <v>0</v>
      </c>
      <c r="O258">
        <f t="shared" si="7"/>
        <v>0</v>
      </c>
    </row>
    <row r="259" spans="1:15">
      <c r="A259" s="9" t="s">
        <v>262</v>
      </c>
      <c r="B259">
        <f>B258*(1+$CD$2)*(1+每日報酬率!B259)</f>
        <v>0</v>
      </c>
      <c r="C259">
        <f>C258*(1+$CD$2)*(1+每日報酬率!C259)</f>
        <v>0.12762546122830906</v>
      </c>
      <c r="D259">
        <f>D258*(1+$CD$2)*(1+每日報酬率!D259)</f>
        <v>1.5843418828482361</v>
      </c>
      <c r="E259">
        <f>E258*(1+$CD$2)*(1+每日報酬率!E259)</f>
        <v>0.12946517468197305</v>
      </c>
      <c r="F259">
        <f t="shared" ref="F259:F322" si="8">SUM(B259:E259)</f>
        <v>1.8414325187585181</v>
      </c>
      <c r="K259" s="3">
        <f>IFERROR(G260/每日收盤價!B259,0)</f>
        <v>0</v>
      </c>
      <c r="L259" s="3">
        <f>IFERROR(H260/每日收盤價!C259,0)</f>
        <v>0</v>
      </c>
      <c r="M259" s="3">
        <f>IFERROR(I260/每日收盤價!D259,0)</f>
        <v>0</v>
      </c>
      <c r="N259" s="3">
        <f>IFERROR(J260/每日收盤價!E259,0)</f>
        <v>0</v>
      </c>
      <c r="O259">
        <f t="shared" ref="O259:O322" si="9">SUM(K259:N259)</f>
        <v>0</v>
      </c>
    </row>
    <row r="260" spans="1:15">
      <c r="A260" s="9" t="s">
        <v>263</v>
      </c>
      <c r="B260">
        <f>B259*(1+$CD$2)*(1+每日報酬率!B260)</f>
        <v>0</v>
      </c>
      <c r="C260">
        <f>C259*(1+$CD$2)*(1+每日報酬率!C260)</f>
        <v>0.13226638709115668</v>
      </c>
      <c r="D260">
        <f>D259*(1+$CD$2)*(1+每日報酬率!D260)</f>
        <v>1.6060451963119107</v>
      </c>
      <c r="E260">
        <f>E259*(1+$CD$2)*(1+每日報酬率!E260)</f>
        <v>0.13250630294631469</v>
      </c>
      <c r="F260">
        <f t="shared" si="8"/>
        <v>1.8708178863493821</v>
      </c>
      <c r="K260" s="3">
        <f>IFERROR(G261/每日收盤價!B260,0)</f>
        <v>0</v>
      </c>
      <c r="L260" s="3">
        <f>IFERROR(H261/每日收盤價!C260,0)</f>
        <v>0</v>
      </c>
      <c r="M260" s="3">
        <f>IFERROR(I261/每日收盤價!D260,0)</f>
        <v>0</v>
      </c>
      <c r="N260" s="3">
        <f>IFERROR(J261/每日收盤價!E260,0)</f>
        <v>0</v>
      </c>
      <c r="O260">
        <f t="shared" si="9"/>
        <v>0</v>
      </c>
    </row>
    <row r="261" spans="1:15">
      <c r="A261" s="9" t="s">
        <v>264</v>
      </c>
      <c r="B261">
        <f>B260*(1+$CD$2)*(1+每日報酬率!B261)</f>
        <v>0</v>
      </c>
      <c r="C261">
        <f>C260*(1+$CD$2)*(1+每日報酬率!C261)</f>
        <v>0.13381336237877256</v>
      </c>
      <c r="D261">
        <f>D260*(1+$CD$2)*(1+每日報酬率!D261)</f>
        <v>1.6132796341331355</v>
      </c>
      <c r="E261">
        <f>E260*(1+$CD$2)*(1+每日報酬率!E261)</f>
        <v>0.13250630294631469</v>
      </c>
      <c r="F261">
        <f t="shared" si="8"/>
        <v>1.8795992994582227</v>
      </c>
      <c r="K261" s="3">
        <f>IFERROR(G262/每日收盤價!B261,0)</f>
        <v>0</v>
      </c>
      <c r="L261" s="3">
        <f>IFERROR(H262/每日收盤價!C261,0)</f>
        <v>0</v>
      </c>
      <c r="M261" s="3">
        <f>IFERROR(I262/每日收盤價!D261,0)</f>
        <v>0</v>
      </c>
      <c r="N261" s="3">
        <f>IFERROR(J262/每日收盤價!E261,0)</f>
        <v>0</v>
      </c>
      <c r="O261">
        <f t="shared" si="9"/>
        <v>0</v>
      </c>
    </row>
    <row r="262" spans="1:15">
      <c r="A262" s="9" t="s">
        <v>265</v>
      </c>
      <c r="B262">
        <f>B261*(1+$CD$2)*(1+每日報酬率!B262)</f>
        <v>0</v>
      </c>
      <c r="C262">
        <f>C261*(1+$CD$2)*(1+每日報酬率!C262)</f>
        <v>0.13768080059781224</v>
      </c>
      <c r="D262">
        <f>D261*(1+$CD$2)*(1+每日報酬率!D262)</f>
        <v>1.6277485097755851</v>
      </c>
      <c r="E262">
        <f>E261*(1+$CD$2)*(1+每日報酬率!E262)</f>
        <v>0.13250630294631469</v>
      </c>
      <c r="F262">
        <f t="shared" si="8"/>
        <v>1.8979356133197121</v>
      </c>
      <c r="K262" s="3">
        <f>IFERROR(G263/每日收盤價!B262,0)</f>
        <v>0</v>
      </c>
      <c r="L262" s="3">
        <f>IFERROR(H263/每日收盤價!C262,0)</f>
        <v>0</v>
      </c>
      <c r="M262" s="3">
        <f>IFERROR(I263/每日收盤價!D262,0)</f>
        <v>0</v>
      </c>
      <c r="N262" s="3">
        <f>IFERROR(J263/每日收盤價!E262,0)</f>
        <v>0</v>
      </c>
      <c r="O262">
        <f t="shared" si="9"/>
        <v>0</v>
      </c>
    </row>
    <row r="263" spans="1:15">
      <c r="A263" s="9" t="s">
        <v>266</v>
      </c>
      <c r="B263">
        <f>B262*(1+$CD$2)*(1+每日報酬率!B263)</f>
        <v>0</v>
      </c>
      <c r="C263">
        <f>C262*(1+$CD$2)*(1+每日報酬率!C263)</f>
        <v>0.1345868500225805</v>
      </c>
      <c r="D263">
        <f>D262*(1+$CD$2)*(1+每日報酬率!D263)</f>
        <v>1.5988107584906857</v>
      </c>
      <c r="E263">
        <f>E262*(1+$CD$2)*(1+每日報酬率!E263)</f>
        <v>0.12859628089216113</v>
      </c>
      <c r="F263">
        <f t="shared" si="8"/>
        <v>1.8619938894054271</v>
      </c>
      <c r="K263" s="3">
        <f>IFERROR(G264/每日收盤價!B263,0)</f>
        <v>0</v>
      </c>
      <c r="L263" s="3">
        <f>IFERROR(H264/每日收盤價!C263,0)</f>
        <v>0</v>
      </c>
      <c r="M263" s="3">
        <f>IFERROR(I264/每日收盤價!D263,0)</f>
        <v>0</v>
      </c>
      <c r="N263" s="3">
        <f>IFERROR(J264/每日收盤價!E263,0)</f>
        <v>0</v>
      </c>
      <c r="O263">
        <f t="shared" si="9"/>
        <v>0</v>
      </c>
    </row>
    <row r="264" spans="1:15">
      <c r="A264" s="9" t="s">
        <v>267</v>
      </c>
      <c r="B264">
        <f>B263*(1+$CD$2)*(1+每日報酬率!B264)</f>
        <v>0</v>
      </c>
      <c r="C264">
        <f>C263*(1+$CD$2)*(1+每日報酬率!C264)</f>
        <v>0.13845428824162018</v>
      </c>
      <c r="D264">
        <f>D263*(1+$CD$2)*(1+每日報酬率!D264)</f>
        <v>1.6060451963119105</v>
      </c>
      <c r="E264">
        <f>E263*(1+$CD$2)*(1+每日報酬率!E264)</f>
        <v>0.13120296226159681</v>
      </c>
      <c r="F264">
        <f t="shared" si="8"/>
        <v>1.8757024468151275</v>
      </c>
      <c r="K264" s="3">
        <f>IFERROR(G265/每日收盤價!B264,0)</f>
        <v>0</v>
      </c>
      <c r="L264" s="3">
        <f>IFERROR(H265/每日收盤價!C264,0)</f>
        <v>0</v>
      </c>
      <c r="M264" s="3">
        <f>IFERROR(I265/每日收盤價!D264,0)</f>
        <v>0</v>
      </c>
      <c r="N264" s="3">
        <f>IFERROR(J265/每日收盤價!E264,0)</f>
        <v>0</v>
      </c>
      <c r="O264">
        <f t="shared" si="9"/>
        <v>0</v>
      </c>
    </row>
    <row r="265" spans="1:15">
      <c r="A265" s="9" t="s">
        <v>268</v>
      </c>
      <c r="B265">
        <f>B264*(1+$CD$2)*(1+每日報酬率!B265)</f>
        <v>0</v>
      </c>
      <c r="C265">
        <f>C264*(1+$CD$2)*(1+每日報酬率!C265)</f>
        <v>0.13690731295400432</v>
      </c>
      <c r="D265">
        <f>D264*(1+$CD$2)*(1+每日報酬率!D265)</f>
        <v>1.5915763206694609</v>
      </c>
      <c r="E265">
        <f>E264*(1+$CD$2)*(1+每日報酬率!E265)</f>
        <v>0.12903072778706706</v>
      </c>
      <c r="F265">
        <f t="shared" si="8"/>
        <v>1.8575143614105323</v>
      </c>
      <c r="K265" s="3">
        <f>IFERROR(G266/每日收盤價!B265,0)</f>
        <v>0</v>
      </c>
      <c r="L265" s="3">
        <f>IFERROR(H266/每日收盤價!C265,0)</f>
        <v>0</v>
      </c>
      <c r="M265" s="3">
        <f>IFERROR(I266/每日收盤價!D265,0)</f>
        <v>0</v>
      </c>
      <c r="N265" s="3">
        <f>IFERROR(J266/每日收盤價!E265,0)</f>
        <v>0</v>
      </c>
      <c r="O265">
        <f t="shared" si="9"/>
        <v>0</v>
      </c>
    </row>
    <row r="266" spans="1:15">
      <c r="A266" s="9" t="s">
        <v>269</v>
      </c>
      <c r="B266">
        <f>B265*(1+$CD$2)*(1+每日報酬率!B266)</f>
        <v>0</v>
      </c>
      <c r="C266">
        <f>C265*(1+$CD$2)*(1+每日報酬率!C266)</f>
        <v>0.13922777588542812</v>
      </c>
      <c r="D266">
        <f>D265*(1+$CD$2)*(1+每日報酬率!D266)</f>
        <v>1.5771074450270113</v>
      </c>
      <c r="E266">
        <f>E265*(1+$CD$2)*(1+每日報酬率!E266)</f>
        <v>0.1320718560514087</v>
      </c>
      <c r="F266">
        <f t="shared" si="8"/>
        <v>1.8484070769638481</v>
      </c>
      <c r="K266" s="3">
        <f>IFERROR(G267/每日收盤價!B266,0)</f>
        <v>0</v>
      </c>
      <c r="L266" s="3">
        <f>IFERROR(H267/每日收盤價!C266,0)</f>
        <v>0</v>
      </c>
      <c r="M266" s="3">
        <f>IFERROR(I267/每日收盤價!D266,0)</f>
        <v>0</v>
      </c>
      <c r="N266" s="3">
        <f>IFERROR(J267/每日收盤價!E266,0)</f>
        <v>0</v>
      </c>
      <c r="O266">
        <f t="shared" si="9"/>
        <v>0</v>
      </c>
    </row>
    <row r="267" spans="1:15">
      <c r="A267" s="9" t="s">
        <v>270</v>
      </c>
      <c r="B267">
        <f>B266*(1+$CD$2)*(1+每日報酬率!B267)</f>
        <v>0</v>
      </c>
      <c r="C267">
        <f>C266*(1+$CD$2)*(1+每日報酬率!C267)</f>
        <v>0.13768080059781226</v>
      </c>
      <c r="D267">
        <f>D266*(1+$CD$2)*(1+每日報酬率!D267)</f>
        <v>1.5337008180996623</v>
      </c>
      <c r="E267">
        <f>E266*(1+$CD$2)*(1+每日報酬率!E267)</f>
        <v>0.13076851536669085</v>
      </c>
      <c r="F267">
        <f t="shared" si="8"/>
        <v>1.8021501340641655</v>
      </c>
      <c r="K267" s="3">
        <f>IFERROR(G268/每日收盤價!B267,0)</f>
        <v>0</v>
      </c>
      <c r="L267" s="3">
        <f>IFERROR(H268/每日收盤價!C267,0)</f>
        <v>0</v>
      </c>
      <c r="M267" s="3">
        <f>IFERROR(I268/每日收盤價!D267,0)</f>
        <v>0</v>
      </c>
      <c r="N267" s="3">
        <f>IFERROR(J268/每日收盤價!E267,0)</f>
        <v>0</v>
      </c>
      <c r="O267">
        <f t="shared" si="9"/>
        <v>0</v>
      </c>
    </row>
    <row r="268" spans="1:15">
      <c r="A268" s="9" t="s">
        <v>271</v>
      </c>
      <c r="B268">
        <f>B267*(1+$CD$2)*(1+每日報酬率!B268)</f>
        <v>0</v>
      </c>
      <c r="C268">
        <f>C267*(1+$CD$2)*(1+每日報酬率!C268)</f>
        <v>0.14116149499494796</v>
      </c>
      <c r="D268">
        <f>D267*(1+$CD$2)*(1+每日報酬率!D268)</f>
        <v>1.5698730072057865</v>
      </c>
      <c r="E268">
        <f>E267*(1+$CD$2)*(1+每日報酬率!E268)</f>
        <v>0.13424409052593844</v>
      </c>
      <c r="F268">
        <f t="shared" si="8"/>
        <v>1.8452785927266731</v>
      </c>
      <c r="K268" s="3">
        <f>IFERROR(G269/每日收盤價!B268,0)</f>
        <v>0</v>
      </c>
      <c r="L268" s="3">
        <f>IFERROR(H269/每日收盤價!C268,0)</f>
        <v>0</v>
      </c>
      <c r="M268" s="3">
        <f>IFERROR(I269/每日收盤價!D268,0)</f>
        <v>0</v>
      </c>
      <c r="N268" s="3">
        <f>IFERROR(J269/每日收盤價!E268,0)</f>
        <v>0</v>
      </c>
      <c r="O268">
        <f t="shared" si="9"/>
        <v>0</v>
      </c>
    </row>
    <row r="269" spans="1:15">
      <c r="A269" s="9" t="s">
        <v>272</v>
      </c>
      <c r="B269">
        <f>B268*(1+$CD$2)*(1+每日報酬率!B269)</f>
        <v>0</v>
      </c>
      <c r="C269">
        <f>C268*(1+$CD$2)*(1+每日報酬率!C269)</f>
        <v>0.1419349826387559</v>
      </c>
      <c r="D269">
        <f>D268*(1+$CD$2)*(1+每日報酬率!D269)</f>
        <v>1.5915763206694611</v>
      </c>
      <c r="E269">
        <f>E268*(1+$CD$2)*(1+每日報酬率!E269)</f>
        <v>0.13337519673612655</v>
      </c>
      <c r="F269">
        <f t="shared" si="8"/>
        <v>1.8668865000443435</v>
      </c>
      <c r="K269" s="3">
        <f>IFERROR(G270/每日收盤價!B269,0)</f>
        <v>0</v>
      </c>
      <c r="L269" s="3">
        <f>IFERROR(H270/每日收盤價!C269,0)</f>
        <v>0</v>
      </c>
      <c r="M269" s="3">
        <f>IFERROR(I270/每日收盤價!D269,0)</f>
        <v>0</v>
      </c>
      <c r="N269" s="3">
        <f>IFERROR(J270/每日收盤價!E269,0)</f>
        <v>0</v>
      </c>
      <c r="O269">
        <f t="shared" si="9"/>
        <v>0</v>
      </c>
    </row>
    <row r="270" spans="1:15">
      <c r="A270" s="9" t="s">
        <v>273</v>
      </c>
      <c r="B270">
        <f>B269*(1+$CD$2)*(1+每日報酬率!B270)</f>
        <v>0</v>
      </c>
      <c r="C270">
        <f>C269*(1+$CD$2)*(1+每日報酬率!C270)</f>
        <v>0.14154823881685191</v>
      </c>
      <c r="D270">
        <f>D269*(1+$CD$2)*(1+每日報酬率!D270)</f>
        <v>1.5771074450270115</v>
      </c>
      <c r="E270">
        <f>E269*(1+$CD$2)*(1+每日報酬率!E270)</f>
        <v>0.13380964363103251</v>
      </c>
      <c r="F270">
        <f t="shared" si="8"/>
        <v>1.8524653274748959</v>
      </c>
      <c r="K270" s="3">
        <f>IFERROR(G271/每日收盤價!B270,0)</f>
        <v>0</v>
      </c>
      <c r="L270" s="3">
        <f>IFERROR(H271/每日收盤價!C270,0)</f>
        <v>0</v>
      </c>
      <c r="M270" s="3">
        <f>IFERROR(I271/每日收盤價!D270,0)</f>
        <v>0</v>
      </c>
      <c r="N270" s="3">
        <f>IFERROR(J271/每日收盤價!E270,0)</f>
        <v>0</v>
      </c>
      <c r="O270">
        <f t="shared" si="9"/>
        <v>0</v>
      </c>
    </row>
    <row r="271" spans="1:15">
      <c r="A271" s="9" t="s">
        <v>274</v>
      </c>
      <c r="B271">
        <f>B270*(1+$CD$2)*(1+每日報酬率!B271)</f>
        <v>0</v>
      </c>
      <c r="C271">
        <f>C270*(1+$CD$2)*(1+每日報酬率!C271)</f>
        <v>0.14077475117304397</v>
      </c>
      <c r="D271">
        <f>D270*(1+$CD$2)*(1+每日報酬率!D271)</f>
        <v>1.5626385693845619</v>
      </c>
      <c r="E271">
        <f>E270*(1+$CD$2)*(1+每日報酬率!E271)</f>
        <v>0.13033406847178491</v>
      </c>
      <c r="F271">
        <f t="shared" si="8"/>
        <v>1.8337473890293907</v>
      </c>
      <c r="K271" s="3">
        <f>IFERROR(G272/每日收盤價!B271,0)</f>
        <v>0</v>
      </c>
      <c r="L271" s="3">
        <f>IFERROR(H272/每日收盤價!C271,0)</f>
        <v>0</v>
      </c>
      <c r="M271" s="3">
        <f>IFERROR(I272/每日收盤價!D271,0)</f>
        <v>0</v>
      </c>
      <c r="N271" s="3">
        <f>IFERROR(J272/每日收盤價!E271,0)</f>
        <v>0</v>
      </c>
      <c r="O271">
        <f t="shared" si="9"/>
        <v>0</v>
      </c>
    </row>
    <row r="272" spans="1:15">
      <c r="A272" s="9" t="s">
        <v>275</v>
      </c>
      <c r="B272">
        <f>B271*(1+$CD$2)*(1+每日報酬率!B272)</f>
        <v>0</v>
      </c>
      <c r="C272">
        <f>C271*(1+$CD$2)*(1+每日報酬率!C272)</f>
        <v>0.14154823881685191</v>
      </c>
      <c r="D272">
        <f>D271*(1+$CD$2)*(1+每日報酬率!D272)</f>
        <v>1.5843418828482363</v>
      </c>
      <c r="E272">
        <f>E271*(1+$CD$2)*(1+每日報酬率!E272)</f>
        <v>0.13120296226159681</v>
      </c>
      <c r="F272">
        <f t="shared" si="8"/>
        <v>1.857093083926685</v>
      </c>
      <c r="K272" s="3">
        <f>IFERROR(G273/每日收盤價!B272,0)</f>
        <v>0</v>
      </c>
      <c r="L272" s="3">
        <f>IFERROR(H273/每日收盤價!C272,0)</f>
        <v>0</v>
      </c>
      <c r="M272" s="3">
        <f>IFERROR(I273/每日收盤價!D272,0)</f>
        <v>0</v>
      </c>
      <c r="N272" s="3">
        <f>IFERROR(J273/每日收盤價!E272,0)</f>
        <v>0</v>
      </c>
      <c r="O272">
        <f t="shared" si="9"/>
        <v>0</v>
      </c>
    </row>
    <row r="273" spans="1:15">
      <c r="A273" s="9" t="s">
        <v>276</v>
      </c>
      <c r="B273">
        <f>B272*(1+$CD$2)*(1+每日報酬率!B273)</f>
        <v>0</v>
      </c>
      <c r="C273">
        <f>C272*(1+$CD$2)*(1+每日報酬率!C273)</f>
        <v>0.14232172646065985</v>
      </c>
      <c r="D273">
        <f>D272*(1+$CD$2)*(1+每日報酬率!D273)</f>
        <v>1.5554041315633369</v>
      </c>
      <c r="E273">
        <f>E272*(1+$CD$2)*(1+每日報酬率!E273)</f>
        <v>0.13424409052593844</v>
      </c>
      <c r="F273">
        <f t="shared" si="8"/>
        <v>1.831969948549935</v>
      </c>
      <c r="K273" s="3">
        <f>IFERROR(G274/每日收盤價!B273,0)</f>
        <v>0</v>
      </c>
      <c r="L273" s="3">
        <f>IFERROR(H274/每日收盤價!C273,0)</f>
        <v>0</v>
      </c>
      <c r="M273" s="3">
        <f>IFERROR(I274/每日收盤價!D273,0)</f>
        <v>0</v>
      </c>
      <c r="N273" s="3">
        <f>IFERROR(J274/每日收盤價!E273,0)</f>
        <v>0</v>
      </c>
      <c r="O273">
        <f t="shared" si="9"/>
        <v>0</v>
      </c>
    </row>
    <row r="274" spans="1:15">
      <c r="A274" s="9" t="s">
        <v>277</v>
      </c>
      <c r="B274">
        <f>B273*(1+$CD$2)*(1+每日報酬率!B274)</f>
        <v>0</v>
      </c>
      <c r="C274">
        <f>C273*(1+$CD$2)*(1+每日報酬率!C274)</f>
        <v>0.13729405677590828</v>
      </c>
      <c r="D274">
        <f>D273*(1+$CD$2)*(1+每日報酬率!D274)</f>
        <v>1.5264663802784375</v>
      </c>
      <c r="E274">
        <f>E273*(1+$CD$2)*(1+每日報酬率!E274)</f>
        <v>0.1346785374208444</v>
      </c>
      <c r="F274">
        <f t="shared" si="8"/>
        <v>1.7984389744751901</v>
      </c>
      <c r="K274" s="3">
        <f>IFERROR(G275/每日收盤價!B274,0)</f>
        <v>0</v>
      </c>
      <c r="L274" s="3">
        <f>IFERROR(H275/每日收盤價!C274,0)</f>
        <v>0</v>
      </c>
      <c r="M274" s="3">
        <f>IFERROR(I275/每日收盤價!D274,0)</f>
        <v>0</v>
      </c>
      <c r="N274" s="3">
        <f>IFERROR(J275/每日收盤價!E274,0)</f>
        <v>0</v>
      </c>
      <c r="O274">
        <f t="shared" si="9"/>
        <v>0</v>
      </c>
    </row>
    <row r="275" spans="1:15">
      <c r="A275" s="9" t="s">
        <v>278</v>
      </c>
      <c r="B275">
        <f>B274*(1+$CD$2)*(1+每日報酬率!B275)</f>
        <v>0</v>
      </c>
      <c r="C275">
        <f>C274*(1+$CD$2)*(1+每日報酬率!C275)</f>
        <v>0.13961451970733207</v>
      </c>
      <c r="D275">
        <f>D274*(1+$CD$2)*(1+每日報酬率!D275)</f>
        <v>1.5337008180996623</v>
      </c>
      <c r="E275">
        <f>E274*(1+$CD$2)*(1+每日報酬率!E275)</f>
        <v>0.13554743121065629</v>
      </c>
      <c r="F275">
        <f t="shared" si="8"/>
        <v>1.8088627690176509</v>
      </c>
      <c r="K275" s="3">
        <f>IFERROR(G276/每日收盤價!B275,0)</f>
        <v>0</v>
      </c>
      <c r="L275" s="3">
        <f>IFERROR(H276/每日收盤價!C275,0)</f>
        <v>0</v>
      </c>
      <c r="M275" s="3">
        <f>IFERROR(I276/每日收盤價!D275,0)</f>
        <v>0</v>
      </c>
      <c r="N275" s="3">
        <f>IFERROR(J276/每日收盤價!E275,0)</f>
        <v>0</v>
      </c>
      <c r="O275">
        <f t="shared" si="9"/>
        <v>0</v>
      </c>
    </row>
    <row r="276" spans="1:15">
      <c r="A276" s="9" t="s">
        <v>279</v>
      </c>
      <c r="B276">
        <f>B275*(1+$CD$2)*(1+每日報酬率!B276)</f>
        <v>0</v>
      </c>
      <c r="C276">
        <f>C275*(1+$CD$2)*(1+每日報酬率!C276)</f>
        <v>0.1345868500225805</v>
      </c>
      <c r="D276">
        <f>D275*(1+$CD$2)*(1+每日報酬率!D276)</f>
        <v>1.5047630668147631</v>
      </c>
      <c r="E276">
        <f>E275*(1+$CD$2)*(1+每日報酬率!E276)</f>
        <v>0.13163740915650274</v>
      </c>
      <c r="F276">
        <f t="shared" si="8"/>
        <v>1.7709873259938462</v>
      </c>
      <c r="K276" s="3">
        <f>IFERROR(G277/每日收盤價!B276,0)</f>
        <v>0</v>
      </c>
      <c r="L276" s="3">
        <f>IFERROR(H277/每日收盤價!C276,0)</f>
        <v>0</v>
      </c>
      <c r="M276" s="3">
        <f>IFERROR(I277/每日收盤價!D276,0)</f>
        <v>0</v>
      </c>
      <c r="N276" s="3">
        <f>IFERROR(J277/每日收盤價!E276,0)</f>
        <v>0</v>
      </c>
      <c r="O276">
        <f t="shared" si="9"/>
        <v>0</v>
      </c>
    </row>
    <row r="277" spans="1:15">
      <c r="A277" s="9" t="s">
        <v>280</v>
      </c>
      <c r="B277">
        <f>B276*(1+$CD$2)*(1+每日報酬率!B277)</f>
        <v>0</v>
      </c>
      <c r="C277">
        <f>C276*(1+$CD$2)*(1+每日報酬率!C277)</f>
        <v>0.13149289944734877</v>
      </c>
      <c r="D277">
        <f>D276*(1+$CD$2)*(1+每日報酬率!D277)</f>
        <v>1.4758253155298637</v>
      </c>
      <c r="E277">
        <f>E276*(1+$CD$2)*(1+每日報酬率!E277)</f>
        <v>0.12772738710234918</v>
      </c>
      <c r="F277">
        <f t="shared" si="8"/>
        <v>1.7350456020795617</v>
      </c>
      <c r="K277" s="3">
        <f>IFERROR(G278/每日收盤價!B277,0)</f>
        <v>0</v>
      </c>
      <c r="L277" s="3">
        <f>IFERROR(H278/每日收盤價!C277,0)</f>
        <v>0</v>
      </c>
      <c r="M277" s="3">
        <f>IFERROR(I278/每日收盤價!D277,0)</f>
        <v>0</v>
      </c>
      <c r="N277" s="3">
        <f>IFERROR(J278/每日收盤價!E277,0)</f>
        <v>0</v>
      </c>
      <c r="O277">
        <f t="shared" si="9"/>
        <v>0</v>
      </c>
    </row>
    <row r="278" spans="1:15">
      <c r="A278" s="9" t="s">
        <v>281</v>
      </c>
      <c r="B278">
        <f>B277*(1+$CD$2)*(1+每日報酬率!B278)</f>
        <v>0</v>
      </c>
      <c r="C278">
        <f>C277*(1+$CD$2)*(1+每日報酬率!C278)</f>
        <v>0.13187964326925272</v>
      </c>
      <c r="D278">
        <f>D277*(1+$CD$2)*(1+每日報酬率!D278)</f>
        <v>1.4468875642449643</v>
      </c>
      <c r="E278">
        <f>E277*(1+$CD$2)*(1+每日報酬率!E278)</f>
        <v>0.13076851536669082</v>
      </c>
      <c r="F278">
        <f t="shared" si="8"/>
        <v>1.7095357228809078</v>
      </c>
      <c r="K278" s="3">
        <f>IFERROR(G279/每日收盤價!B278,0)</f>
        <v>0</v>
      </c>
      <c r="L278" s="3">
        <f>IFERROR(H279/每日收盤價!C278,0)</f>
        <v>0</v>
      </c>
      <c r="M278" s="3">
        <f>IFERROR(I279/每日收盤價!D278,0)</f>
        <v>0</v>
      </c>
      <c r="N278" s="3">
        <f>IFERROR(J279/每日收盤價!E278,0)</f>
        <v>0</v>
      </c>
      <c r="O278">
        <f t="shared" si="9"/>
        <v>0</v>
      </c>
    </row>
    <row r="279" spans="1:15">
      <c r="A279" s="9" t="s">
        <v>282</v>
      </c>
      <c r="B279">
        <f>B278*(1+$CD$2)*(1+每日報酬率!B279)</f>
        <v>0</v>
      </c>
      <c r="C279">
        <f>C278*(1+$CD$2)*(1+每日報酬率!C279)</f>
        <v>0.13420010620067652</v>
      </c>
      <c r="D279">
        <f>D278*(1+$CD$2)*(1+每日報酬率!D279)</f>
        <v>1.4758253155298637</v>
      </c>
      <c r="E279">
        <f>E278*(1+$CD$2)*(1+每日報酬率!E279)</f>
        <v>0.13076851536669082</v>
      </c>
      <c r="F279">
        <f t="shared" si="8"/>
        <v>1.7407939370972312</v>
      </c>
      <c r="K279" s="3">
        <f>IFERROR(G280/每日收盤價!B279,0)</f>
        <v>0</v>
      </c>
      <c r="L279" s="3">
        <f>IFERROR(H280/每日收盤價!C279,0)</f>
        <v>0</v>
      </c>
      <c r="M279" s="3">
        <f>IFERROR(I280/每日收盤價!D279,0)</f>
        <v>0</v>
      </c>
      <c r="N279" s="3">
        <f>IFERROR(J280/每日收盤價!E279,0)</f>
        <v>0</v>
      </c>
      <c r="O279">
        <f t="shared" si="9"/>
        <v>0</v>
      </c>
    </row>
    <row r="280" spans="1:15">
      <c r="A280" s="9" t="s">
        <v>283</v>
      </c>
      <c r="B280">
        <f>B279*(1+$CD$2)*(1+每日報酬率!B280)</f>
        <v>0</v>
      </c>
      <c r="C280">
        <f>C279*(1+$CD$2)*(1+每日報酬率!C280)</f>
        <v>0.13420010620067652</v>
      </c>
      <c r="D280">
        <f>D279*(1+$CD$2)*(1+每日報酬率!D280)</f>
        <v>1.4541220020661894</v>
      </c>
      <c r="E280">
        <f>E279*(1+$CD$2)*(1+每日報酬率!E280)</f>
        <v>0.12989962157687893</v>
      </c>
      <c r="F280">
        <f t="shared" si="8"/>
        <v>1.7182217298437448</v>
      </c>
      <c r="K280" s="3">
        <f>IFERROR(G281/每日收盤價!B280,0)</f>
        <v>0</v>
      </c>
      <c r="L280" s="3">
        <f>IFERROR(H281/每日收盤價!C280,0)</f>
        <v>0</v>
      </c>
      <c r="M280" s="3">
        <f>IFERROR(I281/每日收盤價!D280,0)</f>
        <v>0</v>
      </c>
      <c r="N280" s="3">
        <f>IFERROR(J281/每日收盤價!E280,0)</f>
        <v>0</v>
      </c>
      <c r="O280">
        <f t="shared" si="9"/>
        <v>0</v>
      </c>
    </row>
    <row r="281" spans="1:15">
      <c r="A281" s="9" t="s">
        <v>284</v>
      </c>
      <c r="B281">
        <f>B280*(1+$CD$2)*(1+每日報酬率!B281)</f>
        <v>0</v>
      </c>
      <c r="C281">
        <f>C280*(1+$CD$2)*(1+每日報酬率!C281)</f>
        <v>0.13303987473496462</v>
      </c>
      <c r="D281">
        <f>D280*(1+$CD$2)*(1+每日報酬率!D281)</f>
        <v>1.4541220020661894</v>
      </c>
      <c r="E281">
        <f>E280*(1+$CD$2)*(1+每日報酬率!E281)</f>
        <v>0.12729294020744322</v>
      </c>
      <c r="F281">
        <f t="shared" si="8"/>
        <v>1.7144548170085971</v>
      </c>
      <c r="K281" s="3">
        <f>IFERROR(G282/每日收盤價!B281,0)</f>
        <v>0</v>
      </c>
      <c r="L281" s="3">
        <f>IFERROR(H282/每日收盤價!C281,0)</f>
        <v>0</v>
      </c>
      <c r="M281" s="3">
        <f>IFERROR(I282/每日收盤價!D281,0)</f>
        <v>0</v>
      </c>
      <c r="N281" s="3">
        <f>IFERROR(J282/每日收盤價!E281,0)</f>
        <v>0</v>
      </c>
      <c r="O281">
        <f t="shared" si="9"/>
        <v>0</v>
      </c>
    </row>
    <row r="282" spans="1:15">
      <c r="A282" s="9" t="s">
        <v>285</v>
      </c>
      <c r="B282">
        <f>B281*(1+$CD$2)*(1+每日報酬率!B282)</f>
        <v>0</v>
      </c>
      <c r="C282">
        <f>C281*(1+$CD$2)*(1+每日報酬率!C282)</f>
        <v>0.13303987473496462</v>
      </c>
      <c r="D282">
        <f>D281*(1+$CD$2)*(1+每日報酬率!D282)</f>
        <v>1.4439937891164745</v>
      </c>
      <c r="E282">
        <f>E281*(1+$CD$2)*(1+每日報酬率!E282)</f>
        <v>0.12121068367875992</v>
      </c>
      <c r="F282">
        <f t="shared" si="8"/>
        <v>1.6982443475301989</v>
      </c>
      <c r="K282" s="3">
        <f>IFERROR(G283/每日收盤價!B282,0)</f>
        <v>0</v>
      </c>
      <c r="L282" s="3">
        <f>IFERROR(H283/每日收盤價!C282,0)</f>
        <v>0</v>
      </c>
      <c r="M282" s="3">
        <f>IFERROR(I283/每日收盤價!D282,0)</f>
        <v>0</v>
      </c>
      <c r="N282" s="3">
        <f>IFERROR(J283/每日收盤價!E282,0)</f>
        <v>0</v>
      </c>
      <c r="O282">
        <f t="shared" si="9"/>
        <v>0</v>
      </c>
    </row>
    <row r="283" spans="1:15">
      <c r="A283" s="9" t="s">
        <v>286</v>
      </c>
      <c r="B283">
        <f>B282*(1+$CD$2)*(1+每日報酬率!B283)</f>
        <v>0</v>
      </c>
      <c r="C283">
        <f>C282*(1+$CD$2)*(1+每日報酬率!C283)</f>
        <v>0.13033266798163684</v>
      </c>
      <c r="D283">
        <f>D282*(1+$CD$2)*(1+每日報酬率!D283)</f>
        <v>1.4049278248818604</v>
      </c>
      <c r="E283">
        <f>E282*(1+$CD$2)*(1+每日報酬率!E283)</f>
        <v>0.12034178988894803</v>
      </c>
      <c r="F283">
        <f t="shared" si="8"/>
        <v>1.6556022827524453</v>
      </c>
      <c r="K283" s="3">
        <f>IFERROR(G284/每日收盤價!B283,0)</f>
        <v>0</v>
      </c>
      <c r="L283" s="3">
        <f>IFERROR(H284/每日收盤價!C283,0)</f>
        <v>0</v>
      </c>
      <c r="M283" s="3">
        <f>IFERROR(I284/每日收盤價!D283,0)</f>
        <v>0</v>
      </c>
      <c r="N283" s="3">
        <f>IFERROR(J284/每日收盤價!E283,0)</f>
        <v>0</v>
      </c>
      <c r="O283">
        <f t="shared" si="9"/>
        <v>0</v>
      </c>
    </row>
    <row r="284" spans="1:15">
      <c r="A284" s="9" t="s">
        <v>287</v>
      </c>
      <c r="B284">
        <f>B283*(1+$CD$2)*(1+每日報酬率!B284)</f>
        <v>0</v>
      </c>
      <c r="C284">
        <f>C283*(1+$CD$2)*(1+每日報酬率!C284)</f>
        <v>0.13187964326925269</v>
      </c>
      <c r="D284">
        <f>D283*(1+$CD$2)*(1+每日報酬率!D284)</f>
        <v>1.4295249134740249</v>
      </c>
      <c r="E284">
        <f>E283*(1+$CD$2)*(1+每日報酬率!E284)</f>
        <v>0.12251402436347779</v>
      </c>
      <c r="F284">
        <f t="shared" si="8"/>
        <v>1.6839185811067552</v>
      </c>
      <c r="K284" s="3">
        <f>IFERROR(G285/每日收盤價!B284,0)</f>
        <v>0</v>
      </c>
      <c r="L284" s="3">
        <f>IFERROR(H285/每日收盤價!C284,0)</f>
        <v>0</v>
      </c>
      <c r="M284" s="3">
        <f>IFERROR(I285/每日收盤價!D284,0)</f>
        <v>0</v>
      </c>
      <c r="N284" s="3">
        <f>IFERROR(J285/每日收盤價!E284,0)</f>
        <v>0</v>
      </c>
      <c r="O284">
        <f t="shared" si="9"/>
        <v>0</v>
      </c>
    </row>
    <row r="285" spans="1:15">
      <c r="A285" s="9" t="s">
        <v>288</v>
      </c>
      <c r="B285">
        <f>B284*(1+$CD$2)*(1+每日報酬率!B285)</f>
        <v>0</v>
      </c>
      <c r="C285">
        <f>C284*(1+$CD$2)*(1+每日報酬率!C285)</f>
        <v>0.12994592415973286</v>
      </c>
      <c r="D285">
        <f>D284*(1+$CD$2)*(1+每日報酬率!D285)</f>
        <v>1.3962464994963908</v>
      </c>
      <c r="E285">
        <f>E284*(1+$CD$2)*(1+每日報酬率!E285)</f>
        <v>0.12077623678385399</v>
      </c>
      <c r="F285">
        <f t="shared" si="8"/>
        <v>1.6469686604399778</v>
      </c>
      <c r="K285" s="3">
        <f>IFERROR(G286/每日收盤價!B285,0)</f>
        <v>0</v>
      </c>
      <c r="L285" s="3">
        <f>IFERROR(H286/每日收盤價!C285,0)</f>
        <v>0</v>
      </c>
      <c r="M285" s="3">
        <f>IFERROR(I286/每日收盤價!D285,0)</f>
        <v>0</v>
      </c>
      <c r="N285" s="3">
        <f>IFERROR(J286/每日收盤價!E285,0)</f>
        <v>0</v>
      </c>
      <c r="O285">
        <f t="shared" si="9"/>
        <v>0</v>
      </c>
    </row>
    <row r="286" spans="1:15">
      <c r="A286" s="9" t="s">
        <v>289</v>
      </c>
      <c r="B286">
        <f>B285*(1+$CD$2)*(1+每日報酬率!B286)</f>
        <v>0</v>
      </c>
      <c r="C286">
        <f>C285*(1+$CD$2)*(1+每日報酬率!C286)</f>
        <v>0.13149289944734871</v>
      </c>
      <c r="D286">
        <f>D285*(1+$CD$2)*(1+每日報酬率!D286)</f>
        <v>1.3875651741109212</v>
      </c>
      <c r="E286">
        <f>E285*(1+$CD$2)*(1+每日報酬率!E286)</f>
        <v>0.12164513057366588</v>
      </c>
      <c r="F286">
        <f t="shared" si="8"/>
        <v>1.6407032041319358</v>
      </c>
      <c r="K286" s="3">
        <f>IFERROR(G287/每日收盤價!B286,0)</f>
        <v>0</v>
      </c>
      <c r="L286" s="3">
        <f>IFERROR(H287/每日收盤價!C286,0)</f>
        <v>0</v>
      </c>
      <c r="M286" s="3">
        <f>IFERROR(I287/每日收盤價!D286,0)</f>
        <v>0</v>
      </c>
      <c r="N286" s="3">
        <f>IFERROR(J287/每日收盤價!E286,0)</f>
        <v>0</v>
      </c>
      <c r="O286">
        <f t="shared" si="9"/>
        <v>0</v>
      </c>
    </row>
    <row r="287" spans="1:15">
      <c r="A287" s="9" t="s">
        <v>290</v>
      </c>
      <c r="B287">
        <f>B286*(1+$CD$2)*(1+每日報酬率!B287)</f>
        <v>0</v>
      </c>
      <c r="C287">
        <f>C286*(1+$CD$2)*(1+每日報酬率!C287)</f>
        <v>0.12994592415973286</v>
      </c>
      <c r="D287">
        <f>D286*(1+$CD$2)*(1+每日報酬率!D287)</f>
        <v>1.403480937317616</v>
      </c>
      <c r="E287">
        <f>E286*(1+$CD$2)*(1+每日報酬率!E287)</f>
        <v>0.12381736504819563</v>
      </c>
      <c r="F287">
        <f t="shared" si="8"/>
        <v>1.6572442265255445</v>
      </c>
      <c r="K287" s="3">
        <f>IFERROR(G288/每日收盤價!B287,0)</f>
        <v>0</v>
      </c>
      <c r="L287" s="3">
        <f>IFERROR(H288/每日收盤價!C287,0)</f>
        <v>0</v>
      </c>
      <c r="M287" s="3">
        <f>IFERROR(I288/每日收盤價!D287,0)</f>
        <v>4.6391963092783511E-3</v>
      </c>
      <c r="N287" s="3">
        <f>IFERROR(J288/每日收盤價!E287,0)</f>
        <v>0</v>
      </c>
      <c r="O287">
        <f t="shared" si="9"/>
        <v>4.6391963092783511E-3</v>
      </c>
    </row>
    <row r="288" spans="1:15">
      <c r="A288" s="9" t="s">
        <v>291</v>
      </c>
      <c r="B288">
        <f>B287*(1+$CD$2)*(1+每日報酬率!B288)</f>
        <v>0</v>
      </c>
      <c r="C288">
        <f>C287*(1+$CD$2)*(1+每日報酬率!C288)</f>
        <v>0.1295591803378289</v>
      </c>
      <c r="D288">
        <f>D287*(1+$CD$2)*(1+每日報酬率!D288)</f>
        <v>1.4049278248818611</v>
      </c>
      <c r="E288">
        <f>E287*(1+$CD$2)*(1+每日報酬率!E288)</f>
        <v>0.12816183399725514</v>
      </c>
      <c r="F288">
        <f t="shared" si="8"/>
        <v>1.6626488392169452</v>
      </c>
      <c r="I288" s="3">
        <v>4.5000204200000002</v>
      </c>
      <c r="K288" s="3">
        <f>IFERROR(G289/每日收盤價!B288,0)</f>
        <v>0</v>
      </c>
      <c r="L288" s="3">
        <f>IFERROR(H289/每日收盤價!C288,0)</f>
        <v>0</v>
      </c>
      <c r="M288" s="3">
        <f>IFERROR(I289/每日收盤價!D288,0)</f>
        <v>0</v>
      </c>
      <c r="N288" s="3">
        <f>IFERROR(J289/每日收盤價!E288,0)</f>
        <v>0</v>
      </c>
      <c r="O288">
        <f t="shared" si="9"/>
        <v>0</v>
      </c>
    </row>
    <row r="289" spans="1:15">
      <c r="A289" s="9" t="s">
        <v>292</v>
      </c>
      <c r="B289">
        <f>B288*(1+$CD$2)*(1+每日報酬率!B289)</f>
        <v>0</v>
      </c>
      <c r="C289">
        <f>C288*(1+$CD$2)*(1+每日報酬率!C289)</f>
        <v>0.12685197358450112</v>
      </c>
      <c r="D289">
        <f>D288*(1+$CD$2)*(1+每日報酬率!D289)</f>
        <v>1.3774369611612067</v>
      </c>
      <c r="E289">
        <f>E288*(1+$CD$2)*(1+每日報酬率!E289)</f>
        <v>0.12729294020744325</v>
      </c>
      <c r="F289">
        <f t="shared" si="8"/>
        <v>1.631581874953151</v>
      </c>
      <c r="K289" s="3">
        <f>IFERROR(G290/每日收盤價!B289,0)</f>
        <v>0</v>
      </c>
      <c r="L289" s="3">
        <f>IFERROR(H290/每日收盤價!C289,0)</f>
        <v>0</v>
      </c>
      <c r="M289" s="3">
        <f>IFERROR(I290/每日收盤價!D289,0)</f>
        <v>0</v>
      </c>
      <c r="N289" s="3">
        <f>IFERROR(J290/每日收盤價!E289,0)</f>
        <v>0</v>
      </c>
      <c r="O289">
        <f t="shared" si="9"/>
        <v>0</v>
      </c>
    </row>
    <row r="290" spans="1:15">
      <c r="A290" s="9" t="s">
        <v>293</v>
      </c>
      <c r="B290">
        <f>B289*(1+$CD$2)*(1+每日報酬率!B290)</f>
        <v>0</v>
      </c>
      <c r="C290">
        <f>C289*(1+$CD$2)*(1+每日報酬率!C290)</f>
        <v>0.128398948872117</v>
      </c>
      <c r="D290">
        <f>D289*(1+$CD$2)*(1+每日報酬率!D290)</f>
        <v>1.4251842507812906</v>
      </c>
      <c r="E290">
        <f>E289*(1+$CD$2)*(1+每日報酬率!E290)</f>
        <v>0.12903072778706703</v>
      </c>
      <c r="F290">
        <f t="shared" si="8"/>
        <v>1.6826139274404748</v>
      </c>
      <c r="K290" s="3">
        <f>IFERROR(G291/每日收盤價!B290,0)</f>
        <v>0</v>
      </c>
      <c r="L290" s="3">
        <f>IFERROR(H291/每日收盤價!C290,0)</f>
        <v>0</v>
      </c>
      <c r="M290" s="3">
        <f>IFERROR(I291/每日收盤價!D290,0)</f>
        <v>0</v>
      </c>
      <c r="N290" s="3">
        <f>IFERROR(J291/每日收盤價!E290,0)</f>
        <v>0</v>
      </c>
      <c r="O290">
        <f t="shared" si="9"/>
        <v>0</v>
      </c>
    </row>
    <row r="291" spans="1:15">
      <c r="A291" s="9" t="s">
        <v>294</v>
      </c>
      <c r="B291">
        <f>B290*(1+$CD$2)*(1+每日報酬率!B291)</f>
        <v>0</v>
      </c>
      <c r="C291">
        <f>C290*(1+$CD$2)*(1+每日報酬率!C291)</f>
        <v>0.12762546122830906</v>
      </c>
      <c r="D291">
        <f>D290*(1+$CD$2)*(1+每日報酬率!D291)</f>
        <v>1.4063747124461061</v>
      </c>
      <c r="E291">
        <f>E290*(1+$CD$2)*(1+每日報酬率!E291)</f>
        <v>0.12859628089216107</v>
      </c>
      <c r="F291">
        <f t="shared" si="8"/>
        <v>1.6625964545665761</v>
      </c>
      <c r="K291" s="3">
        <f>IFERROR(G292/每日收盤價!B291,0)</f>
        <v>0</v>
      </c>
      <c r="L291" s="3">
        <f>IFERROR(H292/每日收盤價!C291,0)</f>
        <v>0</v>
      </c>
      <c r="M291" s="3">
        <f>IFERROR(I292/每日收盤價!D291,0)</f>
        <v>0</v>
      </c>
      <c r="N291" s="3">
        <f>IFERROR(J292/每日收盤價!E291,0)</f>
        <v>0</v>
      </c>
      <c r="O291">
        <f t="shared" si="9"/>
        <v>0</v>
      </c>
    </row>
    <row r="292" spans="1:15">
      <c r="A292" s="9" t="s">
        <v>295</v>
      </c>
      <c r="B292">
        <f>B291*(1+$CD$2)*(1+每日報酬率!B292)</f>
        <v>0</v>
      </c>
      <c r="C292">
        <f>C291*(1+$CD$2)*(1+每日報酬率!C292)</f>
        <v>0.12607848594069321</v>
      </c>
      <c r="D292">
        <f>D291*(1+$CD$2)*(1+每日報酬率!D292)</f>
        <v>1.4063747124461061</v>
      </c>
      <c r="E292">
        <f>E291*(1+$CD$2)*(1+每日報酬率!E292)</f>
        <v>0.12859628089216107</v>
      </c>
      <c r="F292">
        <f t="shared" si="8"/>
        <v>1.6610494792789603</v>
      </c>
      <c r="K292" s="3">
        <f>IFERROR(G293/每日收盤價!B292,0)</f>
        <v>0</v>
      </c>
      <c r="L292" s="3">
        <f>IFERROR(H293/每日收盤價!C292,0)</f>
        <v>0</v>
      </c>
      <c r="M292" s="3">
        <f>IFERROR(I293/每日收盤價!D292,0)</f>
        <v>0</v>
      </c>
      <c r="N292" s="3">
        <f>IFERROR(J293/每日收盤價!E292,0)</f>
        <v>0</v>
      </c>
      <c r="O292">
        <f t="shared" si="9"/>
        <v>0</v>
      </c>
    </row>
    <row r="293" spans="1:15">
      <c r="A293" s="9" t="s">
        <v>296</v>
      </c>
      <c r="B293">
        <f>B292*(1+$CD$2)*(1+每日報酬率!B293)</f>
        <v>0</v>
      </c>
      <c r="C293">
        <f>C292*(1+$CD$2)*(1+每日報酬率!C293)</f>
        <v>0.12762546122830906</v>
      </c>
      <c r="D293">
        <f>D292*(1+$CD$2)*(1+每日報酬率!D293)</f>
        <v>1.4324186886025156</v>
      </c>
      <c r="E293">
        <f>E292*(1+$CD$2)*(1+每日報酬率!E293)</f>
        <v>0.13250630294631463</v>
      </c>
      <c r="F293">
        <f t="shared" si="8"/>
        <v>1.6925504527771393</v>
      </c>
      <c r="K293" s="3">
        <f>IFERROR(G294/每日收盤價!B293,0)</f>
        <v>0</v>
      </c>
      <c r="L293" s="3">
        <f>IFERROR(H294/每日收盤價!C293,0)</f>
        <v>0</v>
      </c>
      <c r="M293" s="3">
        <f>IFERROR(I294/每日收盤價!D293,0)</f>
        <v>0</v>
      </c>
      <c r="N293" s="3">
        <f>IFERROR(J294/每日收盤價!E293,0)</f>
        <v>0</v>
      </c>
      <c r="O293">
        <f t="shared" si="9"/>
        <v>0</v>
      </c>
    </row>
    <row r="294" spans="1:15">
      <c r="A294" s="9" t="s">
        <v>297</v>
      </c>
      <c r="B294">
        <f>B293*(1+$CD$2)*(1+每日報酬率!B294)</f>
        <v>0</v>
      </c>
      <c r="C294">
        <f>C293*(1+$CD$2)*(1+每日報酬率!C294)</f>
        <v>0.128398948872117</v>
      </c>
      <c r="D294">
        <f>D293*(1+$CD$2)*(1+每日報酬率!D294)</f>
        <v>1.4179498129600661</v>
      </c>
      <c r="E294">
        <f>E293*(1+$CD$2)*(1+每日報酬率!E294)</f>
        <v>0.13163740915650274</v>
      </c>
      <c r="F294">
        <f t="shared" si="8"/>
        <v>1.6779861709886859</v>
      </c>
      <c r="K294" s="3">
        <f>IFERROR(G295/每日收盤價!B294,0)</f>
        <v>0</v>
      </c>
      <c r="L294" s="3">
        <f>IFERROR(H295/每日收盤價!C294,0)</f>
        <v>0</v>
      </c>
      <c r="M294" s="3">
        <f>IFERROR(I295/每日收盤價!D294,0)</f>
        <v>0</v>
      </c>
      <c r="N294" s="3">
        <f>IFERROR(J295/每日收盤價!E294,0)</f>
        <v>0</v>
      </c>
      <c r="O294">
        <f t="shared" si="9"/>
        <v>0</v>
      </c>
    </row>
    <row r="295" spans="1:15">
      <c r="A295" s="9" t="s">
        <v>298</v>
      </c>
      <c r="B295">
        <f>B294*(1+$CD$2)*(1+每日報酬率!B295)</f>
        <v>0</v>
      </c>
      <c r="C295">
        <f>C294*(1+$CD$2)*(1+每日報酬率!C295)</f>
        <v>0.12414476683117337</v>
      </c>
      <c r="D295">
        <f>D294*(1+$CD$2)*(1+每日報酬率!D295)</f>
        <v>1.3861182865466768</v>
      </c>
      <c r="E295">
        <f>E294*(1+$CD$2)*(1+每日報酬率!E295)</f>
        <v>0.12903072778706703</v>
      </c>
      <c r="F295">
        <f t="shared" si="8"/>
        <v>1.6392937811649173</v>
      </c>
      <c r="K295" s="3">
        <f>IFERROR(G296/每日收盤價!B295,0)</f>
        <v>0</v>
      </c>
      <c r="L295" s="3">
        <f>IFERROR(H296/每日收盤價!C295,0)</f>
        <v>0</v>
      </c>
      <c r="M295" s="3">
        <f>IFERROR(I296/每日收盤價!D295,0)</f>
        <v>0</v>
      </c>
      <c r="N295" s="3">
        <f>IFERROR(J296/每日收盤價!E295,0)</f>
        <v>0</v>
      </c>
      <c r="O295">
        <f t="shared" si="9"/>
        <v>0</v>
      </c>
    </row>
    <row r="296" spans="1:15">
      <c r="A296" s="9" t="s">
        <v>299</v>
      </c>
      <c r="B296">
        <f>B295*(1+$CD$2)*(1+每日報酬率!B296)</f>
        <v>0</v>
      </c>
      <c r="C296">
        <f>C295*(1+$CD$2)*(1+每日報酬率!C296)</f>
        <v>0.1191170971464218</v>
      </c>
      <c r="D296">
        <f>D295*(1+$CD$2)*(1+每日報酬率!D296)</f>
        <v>1.3774369611612072</v>
      </c>
      <c r="E296">
        <f>E295*(1+$CD$2)*(1+每日報酬率!E296)</f>
        <v>0.12729294020744322</v>
      </c>
      <c r="F296">
        <f t="shared" si="8"/>
        <v>1.6238469985150721</v>
      </c>
      <c r="K296" s="3">
        <f>IFERROR(G297/每日收盤價!B296,0)</f>
        <v>0</v>
      </c>
      <c r="L296" s="3">
        <f>IFERROR(H297/每日收盤價!C296,0)</f>
        <v>0</v>
      </c>
      <c r="M296" s="3">
        <f>IFERROR(I297/每日收盤價!D296,0)</f>
        <v>0</v>
      </c>
      <c r="N296" s="3">
        <f>IFERROR(J297/每日收盤價!E296,0)</f>
        <v>0</v>
      </c>
      <c r="O296">
        <f t="shared" si="9"/>
        <v>0</v>
      </c>
    </row>
    <row r="297" spans="1:15">
      <c r="A297" s="9" t="s">
        <v>300</v>
      </c>
      <c r="B297">
        <f>B296*(1+$CD$2)*(1+每日報酬率!B297)</f>
        <v>0</v>
      </c>
      <c r="C297">
        <f>C296*(1+$CD$2)*(1+每日報酬率!C297)</f>
        <v>0.11292919599595833</v>
      </c>
      <c r="D297">
        <f>D296*(1+$CD$2)*(1+每日報酬率!D297)</f>
        <v>1.3166676834629187</v>
      </c>
      <c r="E297">
        <f>E296*(1+$CD$2)*(1+每日報酬率!E297)</f>
        <v>0.12077623678385398</v>
      </c>
      <c r="F297">
        <f t="shared" si="8"/>
        <v>1.5503731162427312</v>
      </c>
      <c r="K297" s="3">
        <f>IFERROR(G298/每日收盤價!B297,0)</f>
        <v>0</v>
      </c>
      <c r="L297" s="3">
        <f>IFERROR(H298/每日收盤價!C297,0)</f>
        <v>0</v>
      </c>
      <c r="M297" s="3">
        <f>IFERROR(I298/每日收盤價!D297,0)</f>
        <v>0</v>
      </c>
      <c r="N297" s="3">
        <f>IFERROR(J298/每日收盤價!E297,0)</f>
        <v>0</v>
      </c>
      <c r="O297">
        <f t="shared" si="9"/>
        <v>0</v>
      </c>
    </row>
    <row r="298" spans="1:15">
      <c r="A298" s="9" t="s">
        <v>301</v>
      </c>
      <c r="B298">
        <f>B297*(1+$CD$2)*(1+每日報酬率!B298)</f>
        <v>0</v>
      </c>
      <c r="C298">
        <f>C297*(1+$CD$2)*(1+每日報酬率!C298)</f>
        <v>0.11757012185880591</v>
      </c>
      <c r="D298">
        <f>D297*(1+$CD$2)*(1+每日報酬率!D298)</f>
        <v>1.3658618606472477</v>
      </c>
      <c r="E298">
        <f>E297*(1+$CD$2)*(1+每日報酬率!E298)</f>
        <v>0.12685849331253726</v>
      </c>
      <c r="F298">
        <f t="shared" si="8"/>
        <v>1.6102904758185907</v>
      </c>
      <c r="K298" s="3">
        <f>IFERROR(G299/每日收盤價!B298,0)</f>
        <v>0</v>
      </c>
      <c r="L298" s="3">
        <f>IFERROR(H299/每日收盤價!C298,0)</f>
        <v>0</v>
      </c>
      <c r="M298" s="3">
        <f>IFERROR(I299/每日收盤價!D298,0)</f>
        <v>0</v>
      </c>
      <c r="N298" s="3">
        <f>IFERROR(J299/每日收盤價!E298,0)</f>
        <v>0</v>
      </c>
      <c r="O298">
        <f t="shared" si="9"/>
        <v>0</v>
      </c>
    </row>
    <row r="299" spans="1:15">
      <c r="A299" s="9" t="s">
        <v>302</v>
      </c>
      <c r="B299">
        <f>B298*(1+$CD$2)*(1+每日報酬率!B299)</f>
        <v>0</v>
      </c>
      <c r="C299">
        <f>C298*(1+$CD$2)*(1+每日報酬率!C299)</f>
        <v>0.11873035332451783</v>
      </c>
      <c r="D299">
        <f>D298*(1+$CD$2)*(1+每日報酬率!D299)</f>
        <v>1.3629680855187578</v>
      </c>
      <c r="E299">
        <f>E298*(1+$CD$2)*(1+每日報酬率!E299)</f>
        <v>0.12468625883800752</v>
      </c>
      <c r="F299">
        <f t="shared" si="8"/>
        <v>1.6063846976812832</v>
      </c>
      <c r="K299" s="3">
        <f>IFERROR(G300/每日收盤價!B299,0)</f>
        <v>0</v>
      </c>
      <c r="L299" s="3">
        <f>IFERROR(H300/每日收盤價!C299,0)</f>
        <v>0</v>
      </c>
      <c r="M299" s="3">
        <f>IFERROR(I300/每日收盤價!D299,0)</f>
        <v>0</v>
      </c>
      <c r="N299" s="3">
        <f>IFERROR(J300/每日收盤價!E299,0)</f>
        <v>0</v>
      </c>
      <c r="O299">
        <f t="shared" si="9"/>
        <v>0</v>
      </c>
    </row>
    <row r="300" spans="1:15">
      <c r="A300" s="9" t="s">
        <v>303</v>
      </c>
      <c r="B300">
        <f>B299*(1+$CD$2)*(1+每日報酬率!B300)</f>
        <v>0</v>
      </c>
      <c r="C300">
        <f>C299*(1+$CD$2)*(1+每日報酬率!C300)</f>
        <v>0.10712803866739881</v>
      </c>
      <c r="D300">
        <f>D299*(1+$CD$2)*(1+每日報酬率!D300)</f>
        <v>1.2269606544797311</v>
      </c>
      <c r="E300">
        <f>E299*(1+$CD$2)*(1+每日報酬率!E300)</f>
        <v>0.11252174578064093</v>
      </c>
      <c r="F300">
        <f t="shared" si="8"/>
        <v>1.4466104389277707</v>
      </c>
      <c r="K300" s="3">
        <f>IFERROR(G301/每日收盤價!B300,0)</f>
        <v>0</v>
      </c>
      <c r="L300" s="3">
        <f>IFERROR(H301/每日收盤價!C300,0)</f>
        <v>0</v>
      </c>
      <c r="M300" s="3">
        <f>IFERROR(I301/每日收盤價!D300,0)</f>
        <v>0</v>
      </c>
      <c r="N300" s="3">
        <f>IFERROR(J301/每日收盤價!E300,0)</f>
        <v>0</v>
      </c>
      <c r="O300">
        <f t="shared" si="9"/>
        <v>0</v>
      </c>
    </row>
    <row r="301" spans="1:15">
      <c r="A301" s="9" t="s">
        <v>304</v>
      </c>
      <c r="B301">
        <f>B300*(1+$CD$2)*(1+每日報酬率!B301)</f>
        <v>0</v>
      </c>
      <c r="C301">
        <f>C300*(1+$CD$2)*(1+每日報酬率!C301)</f>
        <v>9.6685955475991708E-2</v>
      </c>
      <c r="D301">
        <f>D300*(1+$CD$2)*(1+每日報酬率!D301)</f>
        <v>1.1806602524238923</v>
      </c>
      <c r="E301">
        <f>E300*(1+$CD$2)*(1+每日報酬率!E301)</f>
        <v>0.1094806175162993</v>
      </c>
      <c r="F301">
        <f t="shared" si="8"/>
        <v>1.3868268254161833</v>
      </c>
      <c r="K301" s="3">
        <f>IFERROR(G302/每日收盤價!B301,0)</f>
        <v>0</v>
      </c>
      <c r="L301" s="3">
        <f>IFERROR(H302/每日收盤價!C301,0)</f>
        <v>0</v>
      </c>
      <c r="M301" s="3">
        <f>IFERROR(I302/每日收盤價!D301,0)</f>
        <v>0</v>
      </c>
      <c r="N301" s="3">
        <f>IFERROR(J302/每日收盤價!E301,0)</f>
        <v>0</v>
      </c>
      <c r="O301">
        <f t="shared" si="9"/>
        <v>0</v>
      </c>
    </row>
    <row r="302" spans="1:15">
      <c r="A302" s="9" t="s">
        <v>305</v>
      </c>
      <c r="B302">
        <f>B301*(1+$CD$2)*(1+每日報酬率!B302)</f>
        <v>0</v>
      </c>
      <c r="C302">
        <f>C301*(1+$CD$2)*(1+每日報酬率!C302)</f>
        <v>8.7017359928392546E-2</v>
      </c>
      <c r="D302">
        <f>D301*(1+$CD$2)*(1+每日報酬率!D302)</f>
        <v>1.1358067379322982</v>
      </c>
      <c r="E302">
        <f>E301*(1+$CD$2)*(1+每日報酬率!E302)</f>
        <v>0.10296391409271005</v>
      </c>
      <c r="F302">
        <f t="shared" si="8"/>
        <v>1.3257880119534009</v>
      </c>
      <c r="K302" s="3">
        <f>IFERROR(G303/每日收盤價!B302,0)</f>
        <v>0</v>
      </c>
      <c r="L302" s="3">
        <f>IFERROR(H303/每日收盤價!C302,0)</f>
        <v>0</v>
      </c>
      <c r="M302" s="3">
        <f>IFERROR(I303/每日收盤價!D302,0)</f>
        <v>0</v>
      </c>
      <c r="N302" s="3">
        <f>IFERROR(J303/每日收盤價!E302,0)</f>
        <v>0</v>
      </c>
      <c r="O302">
        <f t="shared" si="9"/>
        <v>0</v>
      </c>
    </row>
    <row r="303" spans="1:15">
      <c r="A303" s="9" t="s">
        <v>306</v>
      </c>
      <c r="B303">
        <f>B302*(1+$CD$2)*(1+每日報酬率!B303)</f>
        <v>0</v>
      </c>
      <c r="C303">
        <f>C302*(1+$CD$2)*(1+每日報酬率!C303)</f>
        <v>9.5525724010279811E-2</v>
      </c>
      <c r="D303">
        <f>D302*(1+$CD$2)*(1+每日報酬率!D303)</f>
        <v>1.2486639679434055</v>
      </c>
      <c r="E303">
        <f>E302*(1+$CD$2)*(1+每日報酬率!E303)</f>
        <v>0.11295619267554688</v>
      </c>
      <c r="F303">
        <f t="shared" si="8"/>
        <v>1.4571458846292322</v>
      </c>
      <c r="K303" s="3">
        <f>IFERROR(G304/每日收盤價!B303,0)</f>
        <v>0</v>
      </c>
      <c r="L303" s="3">
        <f>IFERROR(H304/每日收盤價!C303,0)</f>
        <v>0</v>
      </c>
      <c r="M303" s="3">
        <f>IFERROR(I304/每日收盤價!D303,0)</f>
        <v>0</v>
      </c>
      <c r="N303" s="3">
        <f>IFERROR(J304/每日收盤價!E303,0)</f>
        <v>0</v>
      </c>
      <c r="O303">
        <f t="shared" si="9"/>
        <v>0</v>
      </c>
    </row>
    <row r="304" spans="1:15">
      <c r="A304" s="9" t="s">
        <v>307</v>
      </c>
      <c r="B304">
        <f>B303*(1+$CD$2)*(1+每日報酬率!B304)</f>
        <v>0</v>
      </c>
      <c r="C304">
        <f>C303*(1+$CD$2)*(1+每日報酬率!C304)</f>
        <v>0.10403408809216708</v>
      </c>
      <c r="D304">
        <f>D303*(1+$CD$2)*(1+每日報酬率!D304)</f>
        <v>1.2862830446137745</v>
      </c>
      <c r="E304">
        <f>E303*(1+$CD$2)*(1+每日報酬率!E304)</f>
        <v>0.12034178988894802</v>
      </c>
      <c r="F304">
        <f t="shared" si="8"/>
        <v>1.5106589225948897</v>
      </c>
      <c r="K304" s="3">
        <f>IFERROR(G305/每日收盤價!B304,0)</f>
        <v>0</v>
      </c>
      <c r="L304" s="3">
        <f>IFERROR(H305/每日收盤價!C304,0)</f>
        <v>0</v>
      </c>
      <c r="M304" s="3">
        <f>IFERROR(I305/每日收盤價!D304,0)</f>
        <v>0</v>
      </c>
      <c r="N304" s="3">
        <f>IFERROR(J305/每日收盤價!E304,0)</f>
        <v>0</v>
      </c>
      <c r="O304">
        <f t="shared" si="9"/>
        <v>0</v>
      </c>
    </row>
    <row r="305" spans="1:15">
      <c r="A305" s="9" t="s">
        <v>308</v>
      </c>
      <c r="B305">
        <f>B304*(1+$CD$2)*(1+每日報酬率!B305)</f>
        <v>0</v>
      </c>
      <c r="C305">
        <f>C304*(1+$CD$2)*(1+每日報酬率!C305)</f>
        <v>0.10712803866739883</v>
      </c>
      <c r="D305">
        <f>D304*(1+$CD$2)*(1+每日報酬率!D305)</f>
        <v>1.2515577430718954</v>
      </c>
      <c r="E305">
        <f>E304*(1+$CD$2)*(1+每日報酬率!E305)</f>
        <v>0.12164513057366586</v>
      </c>
      <c r="F305">
        <f t="shared" si="8"/>
        <v>1.48033091231296</v>
      </c>
      <c r="K305" s="3">
        <f>IFERROR(G306/每日收盤價!B305,0)</f>
        <v>0</v>
      </c>
      <c r="L305" s="3">
        <f>IFERROR(H306/每日收盤價!C305,0)</f>
        <v>0</v>
      </c>
      <c r="M305" s="3">
        <f>IFERROR(I306/每日收盤價!D305,0)</f>
        <v>0</v>
      </c>
      <c r="N305" s="3">
        <f>IFERROR(J306/每日收盤價!E305,0)</f>
        <v>0</v>
      </c>
      <c r="O305">
        <f t="shared" si="9"/>
        <v>0</v>
      </c>
    </row>
    <row r="306" spans="1:15">
      <c r="A306" s="9" t="s">
        <v>309</v>
      </c>
      <c r="B306">
        <f>B305*(1+$CD$2)*(1+每日報酬率!B306)</f>
        <v>0</v>
      </c>
      <c r="C306">
        <f>C305*(1+$CD$2)*(1+每日報酬率!C306)</f>
        <v>0.10790152631120677</v>
      </c>
      <c r="D306">
        <f>D305*(1+$CD$2)*(1+每日報酬率!D306)</f>
        <v>1.2689203938428351</v>
      </c>
      <c r="E306">
        <f>E305*(1+$CD$2)*(1+每日報酬率!E306)</f>
        <v>0.12034178988894802</v>
      </c>
      <c r="F306">
        <f t="shared" si="8"/>
        <v>1.49716371004299</v>
      </c>
      <c r="K306" s="3">
        <f>IFERROR(G307/每日收盤價!B306,0)</f>
        <v>0</v>
      </c>
      <c r="L306" s="3">
        <f>IFERROR(H307/每日收盤價!C306,0)</f>
        <v>0</v>
      </c>
      <c r="M306" s="3">
        <f>IFERROR(I307/每日收盤價!D306,0)</f>
        <v>0</v>
      </c>
      <c r="N306" s="3">
        <f>IFERROR(J307/每日收盤價!E306,0)</f>
        <v>0</v>
      </c>
      <c r="O306">
        <f t="shared" si="9"/>
        <v>0</v>
      </c>
    </row>
    <row r="307" spans="1:15">
      <c r="A307" s="9" t="s">
        <v>310</v>
      </c>
      <c r="B307">
        <f>B306*(1+$CD$2)*(1+每日報酬率!B307)</f>
        <v>0</v>
      </c>
      <c r="C307">
        <f>C306*(1+$CD$2)*(1+每日報酬率!C307)</f>
        <v>0.105194319557879</v>
      </c>
      <c r="D307">
        <f>D306*(1+$CD$2)*(1+每日報酬率!D307)</f>
        <v>1.2370888674294458</v>
      </c>
      <c r="E307">
        <f>E306*(1+$CD$2)*(1+每日報酬率!E307)</f>
        <v>0.11860400230932422</v>
      </c>
      <c r="F307">
        <f t="shared" si="8"/>
        <v>1.4608871892966491</v>
      </c>
      <c r="K307" s="3">
        <f>IFERROR(G308/每日收盤價!B307,0)</f>
        <v>0</v>
      </c>
      <c r="L307" s="3">
        <f>IFERROR(H308/每日收盤價!C307,0)</f>
        <v>0</v>
      </c>
      <c r="M307" s="3">
        <f>IFERROR(I308/每日收盤價!D307,0)</f>
        <v>0</v>
      </c>
      <c r="N307" s="3">
        <f>IFERROR(J308/每日收盤價!E307,0)</f>
        <v>0</v>
      </c>
      <c r="O307">
        <f t="shared" si="9"/>
        <v>0</v>
      </c>
    </row>
    <row r="308" spans="1:15">
      <c r="A308" s="9" t="s">
        <v>311</v>
      </c>
      <c r="B308">
        <f>B307*(1+$CD$2)*(1+每日報酬率!B308)</f>
        <v>0</v>
      </c>
      <c r="C308">
        <f>C307*(1+$CD$2)*(1+每日報酬率!C308)</f>
        <v>0.1040340880921671</v>
      </c>
      <c r="D308">
        <f>D307*(1+$CD$2)*(1+每日報酬率!D308)</f>
        <v>1.2255137669154861</v>
      </c>
      <c r="E308">
        <f>E307*(1+$CD$2)*(1+每日報酬率!E308)</f>
        <v>0.11643176783479446</v>
      </c>
      <c r="F308">
        <f t="shared" si="8"/>
        <v>1.4459796228424475</v>
      </c>
      <c r="K308" s="3">
        <f>IFERROR(G309/每日收盤價!B308,0)</f>
        <v>0</v>
      </c>
      <c r="L308" s="3">
        <f>IFERROR(H309/每日收盤價!C308,0)</f>
        <v>0</v>
      </c>
      <c r="M308" s="3">
        <f>IFERROR(I309/每日收盤價!D308,0)</f>
        <v>0</v>
      </c>
      <c r="N308" s="3">
        <f>IFERROR(J309/每日收盤價!E308,0)</f>
        <v>0</v>
      </c>
      <c r="O308">
        <f t="shared" si="9"/>
        <v>0</v>
      </c>
    </row>
    <row r="309" spans="1:15">
      <c r="A309" s="9" t="s">
        <v>312</v>
      </c>
      <c r="B309">
        <f>B308*(1+$CD$2)*(1+每日報酬率!B309)</f>
        <v>0</v>
      </c>
      <c r="C309">
        <f>C308*(1+$CD$2)*(1+每日報酬率!C309)</f>
        <v>0.10480757573597504</v>
      </c>
      <c r="D309">
        <f>D308*(1+$CD$2)*(1+每日報酬率!D309)</f>
        <v>1.229854429608221</v>
      </c>
      <c r="E309">
        <f>E308*(1+$CD$2)*(1+每日報酬率!E309)</f>
        <v>0.11860400230932422</v>
      </c>
      <c r="F309">
        <f t="shared" si="8"/>
        <v>1.4532660076535202</v>
      </c>
      <c r="K309" s="3">
        <f>IFERROR(G310/每日收盤價!B309,0)</f>
        <v>0</v>
      </c>
      <c r="L309" s="3">
        <f>IFERROR(H310/每日收盤價!C309,0)</f>
        <v>0</v>
      </c>
      <c r="M309" s="3">
        <f>IFERROR(I310/每日收盤價!D309,0)</f>
        <v>0</v>
      </c>
      <c r="N309" s="3">
        <f>IFERROR(J310/每日收盤價!E309,0)</f>
        <v>0</v>
      </c>
      <c r="O309">
        <f t="shared" si="9"/>
        <v>0</v>
      </c>
    </row>
    <row r="310" spans="1:15">
      <c r="A310" s="9" t="s">
        <v>313</v>
      </c>
      <c r="B310">
        <f>B309*(1+$CD$2)*(1+每日報酬率!B310)</f>
        <v>0</v>
      </c>
      <c r="C310">
        <f>C309*(1+$CD$2)*(1+每日報酬率!C310)</f>
        <v>0.10558106337978297</v>
      </c>
      <c r="D310">
        <f>D309*(1+$CD$2)*(1+每日報酬率!D310)</f>
        <v>1.2081511161445464</v>
      </c>
      <c r="E310">
        <f>E309*(1+$CD$2)*(1+每日報酬率!E310)</f>
        <v>0.11686621472970042</v>
      </c>
      <c r="F310">
        <f t="shared" si="8"/>
        <v>1.4305983942540297</v>
      </c>
      <c r="K310" s="3">
        <f>IFERROR(G311/每日收盤價!B310,0)</f>
        <v>0</v>
      </c>
      <c r="L310" s="3">
        <f>IFERROR(H311/每日收盤價!C310,0)</f>
        <v>0</v>
      </c>
      <c r="M310" s="3">
        <f>IFERROR(I311/每日收盤價!D310,0)</f>
        <v>0</v>
      </c>
      <c r="N310" s="3">
        <f>IFERROR(J311/每日收盤價!E310,0)</f>
        <v>0</v>
      </c>
      <c r="O310">
        <f t="shared" si="9"/>
        <v>0</v>
      </c>
    </row>
    <row r="311" spans="1:15">
      <c r="A311" s="9" t="s">
        <v>314</v>
      </c>
      <c r="B311">
        <f>B310*(1+$CD$2)*(1+每日報酬率!B311)</f>
        <v>0</v>
      </c>
      <c r="C311">
        <f>C310*(1+$CD$2)*(1+每日報酬率!C311)</f>
        <v>0.10210036898264727</v>
      </c>
      <c r="D311">
        <f>D310*(1+$CD$2)*(1+每日報酬率!D311)</f>
        <v>1.1806602524238921</v>
      </c>
      <c r="E311">
        <f>E310*(1+$CD$2)*(1+每日報酬率!E311)</f>
        <v>0.11295619267554688</v>
      </c>
      <c r="F311">
        <f t="shared" si="8"/>
        <v>1.3957168140820861</v>
      </c>
      <c r="K311" s="3">
        <f>IFERROR(G312/每日收盤價!B311,0)</f>
        <v>0</v>
      </c>
      <c r="L311" s="3">
        <f>IFERROR(H312/每日收盤價!C311,0)</f>
        <v>0</v>
      </c>
      <c r="M311" s="3">
        <f>IFERROR(I312/每日收盤價!D311,0)</f>
        <v>0</v>
      </c>
      <c r="N311" s="3">
        <f>IFERROR(J312/每日收盤價!E311,0)</f>
        <v>0</v>
      </c>
      <c r="O311">
        <f t="shared" si="9"/>
        <v>0</v>
      </c>
    </row>
    <row r="312" spans="1:15">
      <c r="A312" s="9" t="s">
        <v>315</v>
      </c>
      <c r="B312">
        <f>B311*(1+$CD$2)*(1+每日報酬率!B312)</f>
        <v>0</v>
      </c>
      <c r="C312">
        <f>C311*(1+$CD$2)*(1+每日報酬率!C312)</f>
        <v>0.1075147824893028</v>
      </c>
      <c r="D312">
        <f>D311*(1+$CD$2)*(1+每日報酬率!D312)</f>
        <v>1.2631328435858551</v>
      </c>
      <c r="E312">
        <f>E311*(1+$CD$2)*(1+每日報酬率!E312)</f>
        <v>0.11903844920423018</v>
      </c>
      <c r="F312">
        <f t="shared" si="8"/>
        <v>1.4896860752793881</v>
      </c>
      <c r="K312" s="3">
        <f>IFERROR(G313/每日收盤價!B312,0)</f>
        <v>0</v>
      </c>
      <c r="L312" s="3">
        <f>IFERROR(H313/每日收盤價!C312,0)</f>
        <v>0</v>
      </c>
      <c r="M312" s="3">
        <f>IFERROR(I313/每日收盤價!D312,0)</f>
        <v>0</v>
      </c>
      <c r="N312" s="3">
        <f>IFERROR(J313/每日收盤價!E312,0)</f>
        <v>0</v>
      </c>
      <c r="O312">
        <f t="shared" si="9"/>
        <v>0</v>
      </c>
    </row>
    <row r="313" spans="1:15">
      <c r="A313" s="9" t="s">
        <v>316</v>
      </c>
      <c r="B313">
        <f>B312*(1+$CD$2)*(1+每日報酬率!B313)</f>
        <v>0</v>
      </c>
      <c r="C313">
        <f>C312*(1+$CD$2)*(1+每日報酬率!C313)</f>
        <v>0.10558106337978296</v>
      </c>
      <c r="D313">
        <f>D312*(1+$CD$2)*(1+每日報酬率!D313)</f>
        <v>1.2501108555076506</v>
      </c>
      <c r="E313">
        <f>E312*(1+$CD$2)*(1+每日報酬率!E313)</f>
        <v>0.11556287404498258</v>
      </c>
      <c r="F313">
        <f t="shared" si="8"/>
        <v>1.471254792932416</v>
      </c>
      <c r="K313" s="3">
        <f>IFERROR(G314/每日收盤價!B313,0)</f>
        <v>0</v>
      </c>
      <c r="L313" s="3">
        <f>IFERROR(H314/每日收盤價!C313,0)</f>
        <v>0</v>
      </c>
      <c r="M313" s="3">
        <f>IFERROR(I314/每日收盤價!D313,0)</f>
        <v>0</v>
      </c>
      <c r="N313" s="3">
        <f>IFERROR(J314/每日收盤價!E313,0)</f>
        <v>0</v>
      </c>
      <c r="O313">
        <f t="shared" si="9"/>
        <v>0</v>
      </c>
    </row>
    <row r="314" spans="1:15">
      <c r="A314" s="9" t="s">
        <v>317</v>
      </c>
      <c r="B314">
        <f>B313*(1+$CD$2)*(1+每日報酬率!B314)</f>
        <v>0</v>
      </c>
      <c r="C314">
        <f>C313*(1+$CD$2)*(1+每日報酬率!C314)</f>
        <v>0.10751478248930278</v>
      </c>
      <c r="D314">
        <f>D313*(1+$CD$2)*(1+每日報酬率!D314)</f>
        <v>1.2848361570495297</v>
      </c>
      <c r="E314">
        <f>E313*(1+$CD$2)*(1+每日報酬率!E314)</f>
        <v>0.11990734299404208</v>
      </c>
      <c r="F314">
        <f t="shared" si="8"/>
        <v>1.5122582825328745</v>
      </c>
      <c r="K314" s="3">
        <f>IFERROR(G315/每日收盤價!B314,0)</f>
        <v>0</v>
      </c>
      <c r="L314" s="3">
        <f>IFERROR(H315/每日收盤價!C314,0)</f>
        <v>0</v>
      </c>
      <c r="M314" s="3">
        <f>IFERROR(I315/每日收盤價!D314,0)</f>
        <v>0</v>
      </c>
      <c r="N314" s="3">
        <f>IFERROR(J315/每日收盤價!E314,0)</f>
        <v>0</v>
      </c>
      <c r="O314">
        <f t="shared" si="9"/>
        <v>0</v>
      </c>
    </row>
    <row r="315" spans="1:15">
      <c r="A315" s="9" t="s">
        <v>318</v>
      </c>
      <c r="B315">
        <f>B314*(1+$CD$2)*(1+每日報酬率!B315)</f>
        <v>0</v>
      </c>
      <c r="C315">
        <f>C314*(1+$CD$2)*(1+每日報酬率!C315)</f>
        <v>0.11022198924263056</v>
      </c>
      <c r="D315">
        <f>D314*(1+$CD$2)*(1+每日報酬率!D315)</f>
        <v>1.2978581451277342</v>
      </c>
      <c r="E315">
        <f>E314*(1+$CD$2)*(1+每日報酬率!E315)</f>
        <v>0.11730066162460639</v>
      </c>
      <c r="F315">
        <f t="shared" si="8"/>
        <v>1.5253807959949712</v>
      </c>
      <c r="K315" s="3">
        <f>IFERROR(G316/每日收盤價!B315,0)</f>
        <v>0</v>
      </c>
      <c r="L315" s="3">
        <f>IFERROR(H316/每日收盤價!C315,0)</f>
        <v>0</v>
      </c>
      <c r="M315" s="3">
        <f>IFERROR(I316/每日收盤價!D315,0)</f>
        <v>0</v>
      </c>
      <c r="N315" s="3">
        <f>IFERROR(J316/每日收盤價!E315,0)</f>
        <v>0</v>
      </c>
      <c r="O315">
        <f t="shared" si="9"/>
        <v>0</v>
      </c>
    </row>
    <row r="316" spans="1:15">
      <c r="A316" s="9" t="s">
        <v>319</v>
      </c>
      <c r="B316">
        <f>B315*(1+$CD$2)*(1+每日報酬率!B316)</f>
        <v>0</v>
      </c>
      <c r="C316">
        <f>C315*(1+$CD$2)*(1+每日報酬率!C316)</f>
        <v>0.11060873306453453</v>
      </c>
      <c r="D316">
        <f>D315*(1+$CD$2)*(1+每日報酬率!D316)</f>
        <v>1.305092582948959</v>
      </c>
      <c r="E316">
        <f>E315*(1+$CD$2)*(1+每日報酬率!E316)</f>
        <v>0.11903844920423019</v>
      </c>
      <c r="F316">
        <f t="shared" si="8"/>
        <v>1.5347397652177237</v>
      </c>
      <c r="K316" s="3">
        <f>IFERROR(G317/每日收盤價!B316,0)</f>
        <v>0</v>
      </c>
      <c r="L316" s="3">
        <f>IFERROR(H317/每日收盤價!C316,0)</f>
        <v>0</v>
      </c>
      <c r="M316" s="3">
        <f>IFERROR(I317/每日收盤價!D316,0)</f>
        <v>0</v>
      </c>
      <c r="N316" s="3">
        <f>IFERROR(J317/每日收盤價!E316,0)</f>
        <v>0</v>
      </c>
      <c r="O316">
        <f t="shared" si="9"/>
        <v>0</v>
      </c>
    </row>
    <row r="317" spans="1:15">
      <c r="A317" s="9" t="s">
        <v>320</v>
      </c>
      <c r="B317">
        <f>B316*(1+$CD$2)*(1+每日報酬率!B317)</f>
        <v>0</v>
      </c>
      <c r="C317">
        <f>C316*(1+$CD$2)*(1+每日報酬率!C317)</f>
        <v>0.10944850159882262</v>
      </c>
      <c r="D317">
        <f>D316*(1+$CD$2)*(1+每日報酬率!D317)</f>
        <v>1.3137739083344286</v>
      </c>
      <c r="E317">
        <f>E316*(1+$CD$2)*(1+每日報酬率!E317)</f>
        <v>0.11730066162460639</v>
      </c>
      <c r="F317">
        <f t="shared" si="8"/>
        <v>1.5405230715578577</v>
      </c>
      <c r="K317" s="3">
        <f>IFERROR(G318/每日收盤價!B317,0)</f>
        <v>0</v>
      </c>
      <c r="L317" s="3">
        <f>IFERROR(H318/每日收盤價!C317,0)</f>
        <v>0</v>
      </c>
      <c r="M317" s="3">
        <f>IFERROR(I318/每日收盤價!D317,0)</f>
        <v>0</v>
      </c>
      <c r="N317" s="3">
        <f>IFERROR(J318/每日收盤價!E317,0)</f>
        <v>0</v>
      </c>
      <c r="O317">
        <f t="shared" si="9"/>
        <v>0</v>
      </c>
    </row>
    <row r="318" spans="1:15">
      <c r="A318" s="9" t="s">
        <v>321</v>
      </c>
      <c r="B318">
        <f>B317*(1+$CD$2)*(1+每日報酬率!B318)</f>
        <v>0</v>
      </c>
      <c r="C318">
        <f>C317*(1+$CD$2)*(1+每日報酬率!C318)</f>
        <v>0.11408942746167024</v>
      </c>
      <c r="D318">
        <f>D317*(1+$CD$2)*(1+每日報酬率!D318)</f>
        <v>1.3745431860327173</v>
      </c>
      <c r="E318">
        <f>E317*(1+$CD$2)*(1+每日報酬率!E318)</f>
        <v>0.11295619267554691</v>
      </c>
      <c r="F318">
        <f t="shared" si="8"/>
        <v>1.6015888061699344</v>
      </c>
      <c r="K318" s="3">
        <f>IFERROR(G319/每日收盤價!B318,0)</f>
        <v>0</v>
      </c>
      <c r="L318" s="3">
        <f>IFERROR(H319/每日收盤價!C318,0)</f>
        <v>0</v>
      </c>
      <c r="M318" s="3">
        <f>IFERROR(I319/每日收盤價!D318,0)</f>
        <v>0</v>
      </c>
      <c r="N318" s="3">
        <f>IFERROR(J319/每日收盤價!E318,0)</f>
        <v>0</v>
      </c>
      <c r="O318">
        <f t="shared" si="9"/>
        <v>0</v>
      </c>
    </row>
    <row r="319" spans="1:15">
      <c r="A319" s="9" t="s">
        <v>322</v>
      </c>
      <c r="B319">
        <f>B318*(1+$CD$2)*(1+每日報酬率!B319)</f>
        <v>0</v>
      </c>
      <c r="C319">
        <f>C318*(1+$CD$2)*(1+每日報酬率!C319)</f>
        <v>0.11022198924263056</v>
      </c>
      <c r="D319">
        <f>D318*(1+$CD$2)*(1+每日報酬率!D319)</f>
        <v>1.3571805352617776</v>
      </c>
      <c r="E319">
        <f>E318*(1+$CD$2)*(1+每日報酬率!E319)</f>
        <v>0.11252174578064096</v>
      </c>
      <c r="F319">
        <f t="shared" si="8"/>
        <v>1.5799242702850491</v>
      </c>
      <c r="K319" s="3">
        <f>IFERROR(G320/每日收盤價!B319,0)</f>
        <v>0</v>
      </c>
      <c r="L319" s="3">
        <f>IFERROR(H320/每日收盤價!C319,0)</f>
        <v>0</v>
      </c>
      <c r="M319" s="3">
        <f>IFERROR(I320/每日收盤價!D319,0)</f>
        <v>0</v>
      </c>
      <c r="N319" s="3">
        <f>IFERROR(J320/每日收盤價!E319,0)</f>
        <v>0</v>
      </c>
      <c r="O319">
        <f t="shared" si="9"/>
        <v>0</v>
      </c>
    </row>
    <row r="320" spans="1:15">
      <c r="A320" s="9" t="s">
        <v>323</v>
      </c>
      <c r="B320">
        <f>B319*(1+$CD$2)*(1+每日報酬率!B320)</f>
        <v>0</v>
      </c>
      <c r="C320">
        <f>C319*(1+$CD$2)*(1+每日報酬率!C320)</f>
        <v>0.11292919599595834</v>
      </c>
      <c r="D320">
        <f>D319*(1+$CD$2)*(1+每日報酬率!D320)</f>
        <v>1.3311365591053681</v>
      </c>
      <c r="E320">
        <f>E319*(1+$CD$2)*(1+每日報酬率!E320)</f>
        <v>0.11121840509592311</v>
      </c>
      <c r="F320">
        <f t="shared" si="8"/>
        <v>1.5552841601972496</v>
      </c>
      <c r="K320" s="3">
        <f>IFERROR(G321/每日收盤價!B320,0)</f>
        <v>0</v>
      </c>
      <c r="L320" s="3">
        <f>IFERROR(H321/每日收盤價!C320,0)</f>
        <v>0</v>
      </c>
      <c r="M320" s="3">
        <f>IFERROR(I321/每日收盤價!D320,0)</f>
        <v>0</v>
      </c>
      <c r="N320" s="3">
        <f>IFERROR(J321/每日收盤價!E320,0)</f>
        <v>0</v>
      </c>
      <c r="O320">
        <f t="shared" si="9"/>
        <v>0</v>
      </c>
    </row>
    <row r="321" spans="1:15">
      <c r="A321" s="9" t="s">
        <v>324</v>
      </c>
      <c r="B321">
        <f>B320*(1+$CD$2)*(1+每日報酬率!B321)</f>
        <v>0</v>
      </c>
      <c r="C321">
        <f>C320*(1+$CD$2)*(1+每日報酬率!C321)</f>
        <v>0.1121557083521504</v>
      </c>
      <c r="D321">
        <f>D320*(1+$CD$2)*(1+每日報酬率!D321)</f>
        <v>1.3427116596193278</v>
      </c>
      <c r="E321">
        <f>E320*(1+$CD$2)*(1+每日報酬率!E321)</f>
        <v>0.11078395820101716</v>
      </c>
      <c r="F321">
        <f t="shared" si="8"/>
        <v>1.5656513261724956</v>
      </c>
      <c r="K321" s="3">
        <f>IFERROR(G322/每日收盤價!B321,0)</f>
        <v>0</v>
      </c>
      <c r="L321" s="3">
        <f>IFERROR(H322/每日收盤價!C321,0)</f>
        <v>0</v>
      </c>
      <c r="M321" s="3">
        <f>IFERROR(I322/每日收盤價!D321,0)</f>
        <v>0</v>
      </c>
      <c r="N321" s="3">
        <f>IFERROR(J322/每日收盤價!E321,0)</f>
        <v>0</v>
      </c>
      <c r="O321">
        <f t="shared" si="9"/>
        <v>0</v>
      </c>
    </row>
    <row r="322" spans="1:15">
      <c r="A322" s="9" t="s">
        <v>325</v>
      </c>
      <c r="B322">
        <f>B321*(1+$CD$2)*(1+每日報酬率!B322)</f>
        <v>0</v>
      </c>
      <c r="C322">
        <f>C321*(1+$CD$2)*(1+每日報酬率!C322)</f>
        <v>0.11292919599595834</v>
      </c>
      <c r="D322">
        <f>D321*(1+$CD$2)*(1+每日報酬率!D322)</f>
        <v>1.3282427839768782</v>
      </c>
      <c r="E322">
        <f>E321*(1+$CD$2)*(1+每日報酬率!E322)</f>
        <v>0.112087298885735</v>
      </c>
      <c r="F322">
        <f t="shared" si="8"/>
        <v>1.5532592788585717</v>
      </c>
      <c r="K322" s="3">
        <f>IFERROR(G323/每日收盤價!B322,0)</f>
        <v>0</v>
      </c>
      <c r="L322" s="3">
        <f>IFERROR(H323/每日收盤價!C322,0)</f>
        <v>0</v>
      </c>
      <c r="M322" s="3">
        <f>IFERROR(I323/每日收盤價!D322,0)</f>
        <v>0</v>
      </c>
      <c r="N322" s="3">
        <f>IFERROR(J323/每日收盤價!E322,0)</f>
        <v>0</v>
      </c>
      <c r="O322">
        <f t="shared" si="9"/>
        <v>0</v>
      </c>
    </row>
    <row r="323" spans="1:15">
      <c r="A323" s="9" t="s">
        <v>326</v>
      </c>
      <c r="B323">
        <f>B322*(1+$CD$2)*(1+每日報酬率!B323)</f>
        <v>0</v>
      </c>
      <c r="C323">
        <f>C322*(1+$CD$2)*(1+每日報酬率!C323)</f>
        <v>0.11370268363976628</v>
      </c>
      <c r="D323">
        <f>D322*(1+$CD$2)*(1+每日報酬率!D323)</f>
        <v>1.373096298468472</v>
      </c>
      <c r="E323">
        <f>E322*(1+$CD$2)*(1+每日報酬率!E323)</f>
        <v>0.11512842715007665</v>
      </c>
      <c r="F323">
        <f t="shared" ref="F323:F386" si="10">SUM(B323:E323)</f>
        <v>1.6019274092583151</v>
      </c>
      <c r="K323" s="3">
        <f>IFERROR(G324/每日收盤價!B323,0)</f>
        <v>0</v>
      </c>
      <c r="L323" s="3">
        <f>IFERROR(H324/每日收盤價!C323,0)</f>
        <v>0</v>
      </c>
      <c r="M323" s="3">
        <f>IFERROR(I324/每日收盤價!D323,0)</f>
        <v>0</v>
      </c>
      <c r="N323" s="3">
        <f>IFERROR(J324/每日收盤價!E323,0)</f>
        <v>0</v>
      </c>
      <c r="O323">
        <f t="shared" ref="O323:O386" si="11">SUM(K323:N323)</f>
        <v>0</v>
      </c>
    </row>
    <row r="324" spans="1:15">
      <c r="A324" s="9" t="s">
        <v>327</v>
      </c>
      <c r="B324">
        <f>B323*(1+$CD$2)*(1+每日報酬率!B324)</f>
        <v>0</v>
      </c>
      <c r="C324">
        <f>C323*(1+$CD$2)*(1+每日報酬率!C324)</f>
        <v>0.11834360950261388</v>
      </c>
      <c r="D324">
        <f>D323*(1+$CD$2)*(1+每日報酬率!D324)</f>
        <v>1.3846713989824315</v>
      </c>
      <c r="E324">
        <f>E323*(1+$CD$2)*(1+每日報酬率!E324)</f>
        <v>0.11425953336026475</v>
      </c>
      <c r="F324">
        <f t="shared" si="10"/>
        <v>1.6172745418453101</v>
      </c>
      <c r="K324" s="3">
        <f>IFERROR(G325/每日收盤價!B324,0)</f>
        <v>0</v>
      </c>
      <c r="L324" s="3">
        <f>IFERROR(H325/每日收盤價!C324,0)</f>
        <v>0</v>
      </c>
      <c r="M324" s="3">
        <f>IFERROR(I325/每日收盤價!D324,0)</f>
        <v>0</v>
      </c>
      <c r="N324" s="3">
        <f>IFERROR(J325/每日收盤價!E324,0)</f>
        <v>0</v>
      </c>
      <c r="O324">
        <f t="shared" si="11"/>
        <v>0</v>
      </c>
    </row>
    <row r="325" spans="1:15">
      <c r="A325" s="9" t="s">
        <v>328</v>
      </c>
      <c r="B325">
        <f>B324*(1+$CD$2)*(1+每日報酬率!B325)</f>
        <v>0</v>
      </c>
      <c r="C325">
        <f>C324*(1+$CD$2)*(1+每日報酬率!C325)</f>
        <v>0.12221104772165356</v>
      </c>
      <c r="D325">
        <f>D324*(1+$CD$2)*(1+每日報酬率!D325)</f>
        <v>1.4020340497533712</v>
      </c>
      <c r="E325">
        <f>E324*(1+$CD$2)*(1+每日報酬率!E325)</f>
        <v>0.11773510851951234</v>
      </c>
      <c r="F325">
        <f t="shared" si="10"/>
        <v>1.6419802059945372</v>
      </c>
      <c r="K325" s="3">
        <f>IFERROR(G326/每日收盤價!B325,0)</f>
        <v>0</v>
      </c>
      <c r="L325" s="3">
        <f>IFERROR(H326/每日收盤價!C325,0)</f>
        <v>0</v>
      </c>
      <c r="M325" s="3">
        <f>IFERROR(I326/每日收盤價!D325,0)</f>
        <v>0</v>
      </c>
      <c r="N325" s="3">
        <f>IFERROR(J326/每日收盤價!E325,0)</f>
        <v>0</v>
      </c>
      <c r="O325">
        <f t="shared" si="11"/>
        <v>0</v>
      </c>
    </row>
    <row r="326" spans="1:15">
      <c r="A326" s="9" t="s">
        <v>329</v>
      </c>
      <c r="B326">
        <f>B325*(1+$CD$2)*(1+每日報酬率!B326)</f>
        <v>0</v>
      </c>
      <c r="C326">
        <f>C325*(1+$CD$2)*(1+每日報酬率!C326)</f>
        <v>0.12607848594069324</v>
      </c>
      <c r="D326">
        <f>D325*(1+$CD$2)*(1+每日報酬率!D326)</f>
        <v>1.44544067668072</v>
      </c>
      <c r="E326">
        <f>E325*(1+$CD$2)*(1+每日報酬率!E326)</f>
        <v>0.11816955541441829</v>
      </c>
      <c r="F326">
        <f t="shared" si="10"/>
        <v>1.6896887180358313</v>
      </c>
      <c r="K326" s="3">
        <f>IFERROR(G327/每日收盤價!B326,0)</f>
        <v>0</v>
      </c>
      <c r="L326" s="3">
        <f>IFERROR(H327/每日收盤價!C326,0)</f>
        <v>0</v>
      </c>
      <c r="M326" s="3">
        <f>IFERROR(I327/每日收盤價!D326,0)</f>
        <v>0</v>
      </c>
      <c r="N326" s="3">
        <f>IFERROR(J327/每日收盤價!E326,0)</f>
        <v>0</v>
      </c>
      <c r="O326">
        <f t="shared" si="11"/>
        <v>0</v>
      </c>
    </row>
    <row r="327" spans="1:15">
      <c r="A327" s="9" t="s">
        <v>330</v>
      </c>
      <c r="B327">
        <f>B326*(1+$CD$2)*(1+每日報酬率!B327)</f>
        <v>0</v>
      </c>
      <c r="C327">
        <f>C326*(1+$CD$2)*(1+每日報酬率!C327)</f>
        <v>0.12337127918736547</v>
      </c>
      <c r="D327">
        <f>D326*(1+$CD$2)*(1+每日報酬率!D327)</f>
        <v>1.4367593512952501</v>
      </c>
      <c r="E327">
        <f>E326*(1+$CD$2)*(1+每日報酬率!E327)</f>
        <v>0.11903844920423018</v>
      </c>
      <c r="F327">
        <f t="shared" si="10"/>
        <v>1.6791690796868459</v>
      </c>
      <c r="K327" s="3">
        <f>IFERROR(G328/每日收盤價!B327,0)</f>
        <v>0</v>
      </c>
      <c r="L327" s="3">
        <f>IFERROR(H328/每日收盤價!C327,0)</f>
        <v>0</v>
      </c>
      <c r="M327" s="3">
        <f>IFERROR(I328/每日收盤價!D327,0)</f>
        <v>0</v>
      </c>
      <c r="N327" s="3">
        <f>IFERROR(J328/每日收盤價!E327,0)</f>
        <v>0</v>
      </c>
      <c r="O327">
        <f t="shared" si="11"/>
        <v>0</v>
      </c>
    </row>
    <row r="328" spans="1:15">
      <c r="A328" s="9" t="s">
        <v>331</v>
      </c>
      <c r="B328">
        <f>B327*(1+$CD$2)*(1+每日報酬率!B328)</f>
        <v>0</v>
      </c>
      <c r="C328">
        <f>C327*(1+$CD$2)*(1+每日報酬率!C328)</f>
        <v>0.12221104772165356</v>
      </c>
      <c r="D328">
        <f>D327*(1+$CD$2)*(1+每日報酬率!D328)</f>
        <v>1.4439937891164749</v>
      </c>
      <c r="E328">
        <f>E327*(1+$CD$2)*(1+每日報酬率!E328)</f>
        <v>0.11860400230932422</v>
      </c>
      <c r="F328">
        <f t="shared" si="10"/>
        <v>1.6848088391474527</v>
      </c>
      <c r="K328" s="3">
        <f>IFERROR(G329/每日收盤價!B328,0)</f>
        <v>0</v>
      </c>
      <c r="L328" s="3">
        <f>IFERROR(H329/每日收盤價!C328,0)</f>
        <v>0</v>
      </c>
      <c r="M328" s="3">
        <f>IFERROR(I329/每日收盤價!D328,0)</f>
        <v>0</v>
      </c>
      <c r="N328" s="3">
        <f>IFERROR(J329/每日收盤價!E328,0)</f>
        <v>0</v>
      </c>
      <c r="O328">
        <f t="shared" si="11"/>
        <v>0</v>
      </c>
    </row>
    <row r="329" spans="1:15">
      <c r="A329" s="9" t="s">
        <v>332</v>
      </c>
      <c r="B329">
        <f>B328*(1+$CD$2)*(1+每日報酬率!B329)</f>
        <v>0</v>
      </c>
      <c r="C329">
        <f>C328*(1+$CD$2)*(1+每日報酬率!C329)</f>
        <v>0.11911709714642182</v>
      </c>
      <c r="D329">
        <f>D328*(1+$CD$2)*(1+每日報酬率!D329)</f>
        <v>1.4237373632170454</v>
      </c>
      <c r="E329">
        <f>E328*(1+$CD$2)*(1+每日報酬率!E329)</f>
        <v>0.11382508646535877</v>
      </c>
      <c r="F329">
        <f t="shared" si="10"/>
        <v>1.6566795468288258</v>
      </c>
      <c r="K329" s="3">
        <f>IFERROR(G330/每日收盤價!B329,0)</f>
        <v>0</v>
      </c>
      <c r="L329" s="3">
        <f>IFERROR(H330/每日收盤價!C329,0)</f>
        <v>0</v>
      </c>
      <c r="M329" s="3">
        <f>IFERROR(I330/每日收盤價!D329,0)</f>
        <v>0</v>
      </c>
      <c r="N329" s="3">
        <f>IFERROR(J330/每日收盤價!E329,0)</f>
        <v>0</v>
      </c>
      <c r="O329">
        <f t="shared" si="11"/>
        <v>0</v>
      </c>
    </row>
    <row r="330" spans="1:15">
      <c r="A330" s="9" t="s">
        <v>333</v>
      </c>
      <c r="B330">
        <f>B329*(1+$CD$2)*(1+每日報酬率!B330)</f>
        <v>0</v>
      </c>
      <c r="C330">
        <f>C329*(1+$CD$2)*(1+每日報酬率!C330)</f>
        <v>0.11911709714642182</v>
      </c>
      <c r="D330">
        <f>D329*(1+$CD$2)*(1+每日報酬率!D330)</f>
        <v>1.4150560378315755</v>
      </c>
      <c r="E330">
        <f>E329*(1+$CD$2)*(1+每日報酬率!E330)</f>
        <v>0.11425953336026472</v>
      </c>
      <c r="F330">
        <f t="shared" si="10"/>
        <v>1.648432668338262</v>
      </c>
      <c r="K330" s="3">
        <f>IFERROR(G331/每日收盤價!B330,0)</f>
        <v>0</v>
      </c>
      <c r="L330" s="3">
        <f>IFERROR(H331/每日收盤價!C330,0)</f>
        <v>0</v>
      </c>
      <c r="M330" s="3">
        <f>IFERROR(I331/每日收盤價!D330,0)</f>
        <v>0</v>
      </c>
      <c r="N330" s="3">
        <f>IFERROR(J331/每日收盤價!E330,0)</f>
        <v>0</v>
      </c>
      <c r="O330">
        <f t="shared" si="11"/>
        <v>0</v>
      </c>
    </row>
    <row r="331" spans="1:15">
      <c r="A331" s="9" t="s">
        <v>334</v>
      </c>
      <c r="B331">
        <f>B330*(1+$CD$2)*(1+每日報酬率!B331)</f>
        <v>0</v>
      </c>
      <c r="C331">
        <f>C330*(1+$CD$2)*(1+每日報酬率!C331)</f>
        <v>0.11989058479022976</v>
      </c>
      <c r="D331">
        <f>D330*(1+$CD$2)*(1+每日報酬率!D331)</f>
        <v>1.432418688602515</v>
      </c>
      <c r="E331">
        <f>E330*(1+$CD$2)*(1+每日報酬率!E331)</f>
        <v>0.11643176783479448</v>
      </c>
      <c r="F331">
        <f t="shared" si="10"/>
        <v>1.6687410412275394</v>
      </c>
      <c r="K331" s="3">
        <f>IFERROR(G332/每日收盤價!B331,0)</f>
        <v>0</v>
      </c>
      <c r="L331" s="3">
        <f>IFERROR(H332/每日收盤價!C331,0)</f>
        <v>0</v>
      </c>
      <c r="M331" s="3">
        <f>IFERROR(I332/每日收盤價!D331,0)</f>
        <v>0</v>
      </c>
      <c r="N331" s="3">
        <f>IFERROR(J332/每日收盤價!E331,0)</f>
        <v>0</v>
      </c>
      <c r="O331">
        <f t="shared" si="11"/>
        <v>0</v>
      </c>
    </row>
    <row r="332" spans="1:15">
      <c r="A332" s="9" t="s">
        <v>335</v>
      </c>
      <c r="B332">
        <f>B331*(1+$CD$2)*(1+每日報酬率!B332)</f>
        <v>0</v>
      </c>
      <c r="C332">
        <f>C331*(1+$CD$2)*(1+每日報酬率!C332)</f>
        <v>0.1183436095026139</v>
      </c>
      <c r="D332">
        <f>D331*(1+$CD$2)*(1+每日報酬率!D332)</f>
        <v>1.4208435880885553</v>
      </c>
      <c r="E332">
        <f>E331*(1+$CD$2)*(1+每日報酬率!E332)</f>
        <v>0.11512842715007662</v>
      </c>
      <c r="F332">
        <f t="shared" si="10"/>
        <v>1.6543156247412456</v>
      </c>
      <c r="K332" s="3">
        <f>IFERROR(G333/每日收盤價!B332,0)</f>
        <v>0</v>
      </c>
      <c r="L332" s="3">
        <f>IFERROR(H333/每日收盤價!C332,0)</f>
        <v>0</v>
      </c>
      <c r="M332" s="3">
        <f>IFERROR(I333/每日收盤價!D332,0)</f>
        <v>0</v>
      </c>
      <c r="N332" s="3">
        <f>IFERROR(J333/每日收盤價!E332,0)</f>
        <v>0</v>
      </c>
      <c r="O332">
        <f t="shared" si="11"/>
        <v>0</v>
      </c>
    </row>
    <row r="333" spans="1:15">
      <c r="A333" s="9" t="s">
        <v>336</v>
      </c>
      <c r="B333">
        <f>B332*(1+$CD$2)*(1+每日報酬率!B333)</f>
        <v>0</v>
      </c>
      <c r="C333">
        <f>C332*(1+$CD$2)*(1+每日報酬率!C333)</f>
        <v>0.11911709714642182</v>
      </c>
      <c r="D333">
        <f>D332*(1+$CD$2)*(1+每日報酬率!D333)</f>
        <v>1.4237373632170451</v>
      </c>
      <c r="E333">
        <f>E332*(1+$CD$2)*(1+每日報酬率!E333)</f>
        <v>0.11425953336026473</v>
      </c>
      <c r="F333">
        <f t="shared" si="10"/>
        <v>1.6571139937237318</v>
      </c>
      <c r="K333" s="3">
        <f>IFERROR(G334/每日收盤價!B333,0)</f>
        <v>0</v>
      </c>
      <c r="L333" s="3">
        <f>IFERROR(H334/每日收盤價!C333,0)</f>
        <v>0</v>
      </c>
      <c r="M333" s="3">
        <f>IFERROR(I334/每日收盤價!D333,0)</f>
        <v>0</v>
      </c>
      <c r="N333" s="3">
        <f>IFERROR(J334/每日收盤價!E333,0)</f>
        <v>0</v>
      </c>
      <c r="O333">
        <f t="shared" si="11"/>
        <v>0</v>
      </c>
    </row>
    <row r="334" spans="1:15">
      <c r="A334" s="9" t="s">
        <v>337</v>
      </c>
      <c r="B334">
        <f>B333*(1+$CD$2)*(1+每日報酬率!B334)</f>
        <v>0</v>
      </c>
      <c r="C334">
        <f>C333*(1+$CD$2)*(1+每日報酬率!C334)</f>
        <v>0.1183436095026139</v>
      </c>
      <c r="D334">
        <f>D333*(1+$CD$2)*(1+每日報酬率!D334)</f>
        <v>1.4121622627030854</v>
      </c>
      <c r="E334">
        <f>E333*(1+$CD$2)*(1+每日報酬率!E334)</f>
        <v>0.11121840509592308</v>
      </c>
      <c r="F334">
        <f t="shared" si="10"/>
        <v>1.6417242773016223</v>
      </c>
      <c r="K334" s="3">
        <f>IFERROR(G335/每日收盤價!B334,0)</f>
        <v>0</v>
      </c>
      <c r="L334" s="3">
        <f>IFERROR(H335/每日收盤價!C334,0)</f>
        <v>0</v>
      </c>
      <c r="M334" s="3">
        <f>IFERROR(I335/每日收盤價!D334,0)</f>
        <v>0</v>
      </c>
      <c r="N334" s="3">
        <f>IFERROR(J335/每日收盤價!E334,0)</f>
        <v>0</v>
      </c>
      <c r="O334">
        <f t="shared" si="11"/>
        <v>0</v>
      </c>
    </row>
    <row r="335" spans="1:15">
      <c r="A335" s="9" t="s">
        <v>338</v>
      </c>
      <c r="B335">
        <f>B334*(1+$CD$2)*(1+每日報酬率!B335)</f>
        <v>0</v>
      </c>
      <c r="C335">
        <f>C334*(1+$CD$2)*(1+每日報酬率!C335)</f>
        <v>0.11757012185880597</v>
      </c>
      <c r="D335">
        <f>D334*(1+$CD$2)*(1+每日報酬率!D335)</f>
        <v>1.3962464994963908</v>
      </c>
      <c r="E335">
        <f>E334*(1+$CD$2)*(1+每日報酬率!E335)</f>
        <v>0.11121840509592308</v>
      </c>
      <c r="F335">
        <f t="shared" si="10"/>
        <v>1.6250350264511197</v>
      </c>
      <c r="K335" s="3">
        <f>IFERROR(G336/每日收盤價!B335,0)</f>
        <v>0</v>
      </c>
      <c r="L335" s="3">
        <f>IFERROR(H336/每日收盤價!C335,0)</f>
        <v>0</v>
      </c>
      <c r="M335" s="3">
        <f>IFERROR(I336/每日收盤價!D335,0)</f>
        <v>0</v>
      </c>
      <c r="N335" s="3">
        <f>IFERROR(J336/每日收盤價!E335,0)</f>
        <v>0</v>
      </c>
      <c r="O335">
        <f t="shared" si="11"/>
        <v>0</v>
      </c>
    </row>
    <row r="336" spans="1:15">
      <c r="A336" s="9" t="s">
        <v>339</v>
      </c>
      <c r="B336">
        <f>B335*(1+$CD$2)*(1+每日報酬率!B336)</f>
        <v>0</v>
      </c>
      <c r="C336">
        <f>C335*(1+$CD$2)*(1+每日報酬率!C336)</f>
        <v>0.11757012185880597</v>
      </c>
      <c r="D336">
        <f>D335*(1+$CD$2)*(1+每日報酬率!D336)</f>
        <v>1.3991402746248809</v>
      </c>
      <c r="E336">
        <f>E335*(1+$CD$2)*(1+每日報酬率!E336)</f>
        <v>0.11121840509592308</v>
      </c>
      <c r="F336">
        <f t="shared" si="10"/>
        <v>1.6279288015796098</v>
      </c>
      <c r="K336" s="3">
        <f>IFERROR(G337/每日收盤價!B336,0)</f>
        <v>0</v>
      </c>
      <c r="L336" s="3">
        <f>IFERROR(H337/每日收盤價!C336,0)</f>
        <v>0</v>
      </c>
      <c r="M336" s="3">
        <f>IFERROR(I337/每日收盤價!D336,0)</f>
        <v>0</v>
      </c>
      <c r="N336" s="3">
        <f>IFERROR(J337/每日收盤價!E336,0)</f>
        <v>0</v>
      </c>
      <c r="O336">
        <f t="shared" si="11"/>
        <v>0</v>
      </c>
    </row>
    <row r="337" spans="1:15">
      <c r="A337" s="9" t="s">
        <v>340</v>
      </c>
      <c r="B337">
        <f>B336*(1+$CD$2)*(1+每日報酬率!B337)</f>
        <v>0</v>
      </c>
      <c r="C337">
        <f>C336*(1+$CD$2)*(1+每日報酬率!C337)</f>
        <v>0.12066407243403772</v>
      </c>
      <c r="D337">
        <f>D336*(1+$CD$2)*(1+每日報酬率!D337)</f>
        <v>1.3991402746248809</v>
      </c>
      <c r="E337">
        <f>E336*(1+$CD$2)*(1+每日報酬率!E337)</f>
        <v>0.10948061751629928</v>
      </c>
      <c r="F337">
        <f t="shared" si="10"/>
        <v>1.6292849645752179</v>
      </c>
      <c r="K337" s="3">
        <f>IFERROR(G338/每日收盤價!B337,0)</f>
        <v>0</v>
      </c>
      <c r="L337" s="3">
        <f>IFERROR(H338/每日收盤價!C337,0)</f>
        <v>0</v>
      </c>
      <c r="M337" s="3">
        <f>IFERROR(I338/每日收盤價!D337,0)</f>
        <v>0</v>
      </c>
      <c r="N337" s="3">
        <f>IFERROR(J338/每日收盤價!E337,0)</f>
        <v>0</v>
      </c>
      <c r="O337">
        <f t="shared" si="11"/>
        <v>0</v>
      </c>
    </row>
    <row r="338" spans="1:15">
      <c r="A338" s="9" t="s">
        <v>341</v>
      </c>
      <c r="B338">
        <f>B337*(1+$CD$2)*(1+每日報酬率!B338)</f>
        <v>0</v>
      </c>
      <c r="C338">
        <f>C337*(1+$CD$2)*(1+每日報酬率!C338)</f>
        <v>0.11795686568070994</v>
      </c>
      <c r="D338">
        <f>D337*(1+$CD$2)*(1+每日報酬率!D338)</f>
        <v>1.3687556357757367</v>
      </c>
      <c r="E338">
        <f>E337*(1+$CD$2)*(1+每日報酬率!E338)</f>
        <v>0.10948061751629928</v>
      </c>
      <c r="F338">
        <f t="shared" si="10"/>
        <v>1.5961931189727459</v>
      </c>
      <c r="K338" s="3">
        <f>IFERROR(G339/每日收盤價!B338,0)</f>
        <v>0</v>
      </c>
      <c r="L338" s="3">
        <f>IFERROR(H339/每日收盤價!C338,0)</f>
        <v>0</v>
      </c>
      <c r="M338" s="3">
        <f>IFERROR(I339/每日收盤價!D338,0)</f>
        <v>0</v>
      </c>
      <c r="N338" s="3">
        <f>IFERROR(J339/每日收盤價!E338,0)</f>
        <v>0</v>
      </c>
      <c r="O338">
        <f t="shared" si="11"/>
        <v>0</v>
      </c>
    </row>
    <row r="339" spans="1:15">
      <c r="A339" s="9" t="s">
        <v>342</v>
      </c>
      <c r="B339">
        <f>B338*(1+$CD$2)*(1+每日報酬率!B339)</f>
        <v>0</v>
      </c>
      <c r="C339">
        <f>C338*(1+$CD$2)*(1+每日報酬率!C339)</f>
        <v>0.117183378036902</v>
      </c>
      <c r="D339">
        <f>D338*(1+$CD$2)*(1+每日報酬率!D339)</f>
        <v>1.3745431860327166</v>
      </c>
      <c r="E339">
        <f>E338*(1+$CD$2)*(1+每日報酬率!E339)</f>
        <v>0.11078395820101712</v>
      </c>
      <c r="F339">
        <f t="shared" si="10"/>
        <v>1.6025105222706357</v>
      </c>
      <c r="K339" s="3">
        <f>IFERROR(G340/每日收盤價!B339,0)</f>
        <v>0</v>
      </c>
      <c r="L339" s="3">
        <f>IFERROR(H340/每日收盤價!C339,0)</f>
        <v>0</v>
      </c>
      <c r="M339" s="3">
        <f>IFERROR(I340/每日收盤價!D339,0)</f>
        <v>0</v>
      </c>
      <c r="N339" s="3">
        <f>IFERROR(J340/每日收盤價!E339,0)</f>
        <v>0</v>
      </c>
      <c r="O339">
        <f t="shared" si="11"/>
        <v>0</v>
      </c>
    </row>
    <row r="340" spans="1:15">
      <c r="A340" s="9" t="s">
        <v>343</v>
      </c>
      <c r="B340">
        <f>B339*(1+$CD$2)*(1+每日報酬率!B340)</f>
        <v>0</v>
      </c>
      <c r="C340">
        <f>C339*(1+$CD$2)*(1+每日報酬率!C340)</f>
        <v>0.12066407243403771</v>
      </c>
      <c r="D340">
        <f>D339*(1+$CD$2)*(1+每日報酬率!D340)</f>
        <v>1.4324186886025152</v>
      </c>
      <c r="E340">
        <f>E339*(1+$CD$2)*(1+每日報酬率!E340)</f>
        <v>0.11078395820101712</v>
      </c>
      <c r="F340">
        <f t="shared" si="10"/>
        <v>1.66386671923757</v>
      </c>
      <c r="K340" s="3">
        <f>IFERROR(G341/每日收盤價!B340,0)</f>
        <v>0</v>
      </c>
      <c r="L340" s="3">
        <f>IFERROR(H341/每日收盤價!C340,0)</f>
        <v>0</v>
      </c>
      <c r="M340" s="3">
        <f>IFERROR(I341/每日收盤價!D340,0)</f>
        <v>0</v>
      </c>
      <c r="N340" s="3">
        <f>IFERROR(J341/每日收盤價!E340,0)</f>
        <v>0</v>
      </c>
      <c r="O340">
        <f t="shared" si="11"/>
        <v>0</v>
      </c>
    </row>
    <row r="341" spans="1:15">
      <c r="A341" s="9" t="s">
        <v>344</v>
      </c>
      <c r="B341">
        <f>B340*(1+$CD$2)*(1+每日報酬率!B341)</f>
        <v>0</v>
      </c>
      <c r="C341">
        <f>C340*(1+$CD$2)*(1+每日報酬率!C341)</f>
        <v>0.12027732861213374</v>
      </c>
      <c r="D341">
        <f>D340*(1+$CD$2)*(1+每日報酬率!D341)</f>
        <v>1.4439937891164749</v>
      </c>
      <c r="E341">
        <f>E340*(1+$CD$2)*(1+每日報酬率!E341)</f>
        <v>0.10817727683158142</v>
      </c>
      <c r="F341">
        <f t="shared" si="10"/>
        <v>1.67244839456019</v>
      </c>
      <c r="K341" s="3">
        <f>IFERROR(G342/每日收盤價!B341,0)</f>
        <v>0</v>
      </c>
      <c r="L341" s="3">
        <f>IFERROR(H342/每日收盤價!C341,0)</f>
        <v>0</v>
      </c>
      <c r="M341" s="3">
        <f>IFERROR(I342/每日收盤價!D341,0)</f>
        <v>0</v>
      </c>
      <c r="N341" s="3">
        <f>IFERROR(J342/每日收盤價!E341,0)</f>
        <v>0</v>
      </c>
      <c r="O341">
        <f t="shared" si="11"/>
        <v>0</v>
      </c>
    </row>
    <row r="342" spans="1:15">
      <c r="A342" s="9" t="s">
        <v>345</v>
      </c>
      <c r="B342">
        <f>B341*(1+$CD$2)*(1+每日報酬率!B342)</f>
        <v>0</v>
      </c>
      <c r="C342">
        <f>C341*(1+$CD$2)*(1+每日報酬率!C342)</f>
        <v>0.11834360950261391</v>
      </c>
      <c r="D342">
        <f>D341*(1+$CD$2)*(1+每日報酬率!D342)</f>
        <v>1.43965312642374</v>
      </c>
      <c r="E342">
        <f>E341*(1+$CD$2)*(1+每日報酬率!E342)</f>
        <v>0.11121840509592305</v>
      </c>
      <c r="F342">
        <f t="shared" si="10"/>
        <v>1.6692151410222769</v>
      </c>
      <c r="K342" s="3">
        <f>IFERROR(G343/每日收盤價!B342,0)</f>
        <v>0</v>
      </c>
      <c r="L342" s="3">
        <f>IFERROR(H343/每日收盤價!C342,0)</f>
        <v>0</v>
      </c>
      <c r="M342" s="3">
        <f>IFERROR(I343/每日收盤價!D342,0)</f>
        <v>0</v>
      </c>
      <c r="N342" s="3">
        <f>IFERROR(J343/每日收盤價!E342,0)</f>
        <v>0</v>
      </c>
      <c r="O342">
        <f t="shared" si="11"/>
        <v>0</v>
      </c>
    </row>
    <row r="343" spans="1:15">
      <c r="A343" s="9" t="s">
        <v>346</v>
      </c>
      <c r="B343">
        <f>B342*(1+$CD$2)*(1+每日報酬率!B343)</f>
        <v>0</v>
      </c>
      <c r="C343">
        <f>C342*(1+$CD$2)*(1+每日報酬率!C343)</f>
        <v>0.11950384096832581</v>
      </c>
      <c r="D343">
        <f>D342*(1+$CD$2)*(1+每日報酬率!D343)</f>
        <v>1.4541220020661898</v>
      </c>
      <c r="E343">
        <f>E342*(1+$CD$2)*(1+每日報酬率!E343)</f>
        <v>0.111652851990829</v>
      </c>
      <c r="F343">
        <f t="shared" si="10"/>
        <v>1.6852786950253447</v>
      </c>
      <c r="K343" s="3">
        <f>IFERROR(G344/每日收盤價!B343,0)</f>
        <v>0</v>
      </c>
      <c r="L343" s="3">
        <f>IFERROR(H344/每日收盤價!C343,0)</f>
        <v>0</v>
      </c>
      <c r="M343" s="3">
        <f>IFERROR(I344/每日收盤價!D343,0)</f>
        <v>0</v>
      </c>
      <c r="N343" s="3">
        <f>IFERROR(J344/每日收盤價!E343,0)</f>
        <v>0</v>
      </c>
      <c r="O343">
        <f t="shared" si="11"/>
        <v>0</v>
      </c>
    </row>
    <row r="344" spans="1:15">
      <c r="A344" s="9" t="s">
        <v>347</v>
      </c>
      <c r="B344">
        <f>B343*(1+$CD$2)*(1+每日報酬率!B344)</f>
        <v>0</v>
      </c>
      <c r="C344">
        <f>C343*(1+$CD$2)*(1+每日報酬率!C344)</f>
        <v>0.12027732861213374</v>
      </c>
      <c r="D344">
        <f>D343*(1+$CD$2)*(1+每日報酬率!D344)</f>
        <v>1.5119975046359884</v>
      </c>
      <c r="E344">
        <f>E343*(1+$CD$2)*(1+每日報酬率!E344)</f>
        <v>0.1159973209398885</v>
      </c>
      <c r="F344">
        <f t="shared" si="10"/>
        <v>1.7482721541880106</v>
      </c>
      <c r="K344" s="3">
        <f>IFERROR(G345/每日收盤價!B344,0)</f>
        <v>0</v>
      </c>
      <c r="L344" s="3">
        <f>IFERROR(H345/每日收盤價!C344,0)</f>
        <v>0</v>
      </c>
      <c r="M344" s="3">
        <f>IFERROR(I345/每日收盤價!D344,0)</f>
        <v>0</v>
      </c>
      <c r="N344" s="3">
        <f>IFERROR(J345/每日收盤價!E344,0)</f>
        <v>0</v>
      </c>
      <c r="O344">
        <f t="shared" si="11"/>
        <v>0</v>
      </c>
    </row>
    <row r="345" spans="1:15">
      <c r="A345" s="9" t="s">
        <v>348</v>
      </c>
      <c r="B345">
        <f>B344*(1+$CD$2)*(1+每日報酬率!B345)</f>
        <v>0</v>
      </c>
      <c r="C345">
        <f>C344*(1+$CD$2)*(1+每日報酬率!C345)</f>
        <v>0.12066407243403769</v>
      </c>
      <c r="D345">
        <f>D344*(1+$CD$2)*(1+每日報酬率!D345)</f>
        <v>1.5409352559208878</v>
      </c>
      <c r="E345">
        <f>E344*(1+$CD$2)*(1+每日報酬率!E345)</f>
        <v>0.1142595333602647</v>
      </c>
      <c r="F345">
        <f t="shared" si="10"/>
        <v>1.7758588617151903</v>
      </c>
      <c r="K345" s="3">
        <f>IFERROR(G346/每日收盤價!B345,0)</f>
        <v>0</v>
      </c>
      <c r="L345" s="3">
        <f>IFERROR(H346/每日收盤價!C345,0)</f>
        <v>0</v>
      </c>
      <c r="M345" s="3">
        <f>IFERROR(I346/每日收盤價!D345,0)</f>
        <v>4.2253712863849768E-3</v>
      </c>
      <c r="N345" s="3">
        <f>IFERROR(J346/每日收盤價!E345,0)</f>
        <v>0</v>
      </c>
      <c r="O345">
        <f t="shared" si="11"/>
        <v>4.2253712863849768E-3</v>
      </c>
    </row>
    <row r="346" spans="1:15">
      <c r="A346" s="9" t="s">
        <v>349</v>
      </c>
      <c r="B346">
        <f>B345*(1+$CD$2)*(1+每日報酬率!B346)</f>
        <v>0</v>
      </c>
      <c r="C346">
        <f>C345*(1+$CD$2)*(1+每日報酬率!C346)</f>
        <v>0.12182430389974959</v>
      </c>
      <c r="D346">
        <f>D345*(1+$CD$2)*(1+每日報酬率!D346)</f>
        <v>1.5119975046359884</v>
      </c>
      <c r="E346">
        <f>E345*(1+$CD$2)*(1+每日報酬率!E346)</f>
        <v>0.11165285199082901</v>
      </c>
      <c r="F346">
        <f t="shared" si="10"/>
        <v>1.745474660526567</v>
      </c>
      <c r="I346" s="3">
        <v>4.5000204200000002</v>
      </c>
      <c r="K346" s="3">
        <f>IFERROR(G347/每日收盤價!B346,0)</f>
        <v>0</v>
      </c>
      <c r="L346" s="3">
        <f>IFERROR(H347/每日收盤價!C346,0)</f>
        <v>0</v>
      </c>
      <c r="M346" s="3">
        <f>IFERROR(I347/每日收盤價!D346,0)</f>
        <v>0</v>
      </c>
      <c r="N346" s="3">
        <f>IFERROR(J347/每日收盤價!E346,0)</f>
        <v>0</v>
      </c>
      <c r="O346">
        <f t="shared" si="11"/>
        <v>0</v>
      </c>
    </row>
    <row r="347" spans="1:15">
      <c r="A347" s="9" t="s">
        <v>350</v>
      </c>
      <c r="B347">
        <f>B346*(1+$CD$2)*(1+每日報酬率!B347)</f>
        <v>0</v>
      </c>
      <c r="C347">
        <f>C346*(1+$CD$2)*(1+每日報酬率!C347)</f>
        <v>0.12105081625594166</v>
      </c>
      <c r="D347">
        <f>D346*(1+$CD$2)*(1+每日報酬率!D347)</f>
        <v>1.490294191172314</v>
      </c>
      <c r="E347">
        <f>E346*(1+$CD$2)*(1+每日報酬率!E347)</f>
        <v>0.10861172372648736</v>
      </c>
      <c r="F347">
        <f t="shared" si="10"/>
        <v>1.719956731154743</v>
      </c>
      <c r="K347" s="3">
        <f>IFERROR(G348/每日收盤價!B347,0)</f>
        <v>0</v>
      </c>
      <c r="L347" s="3">
        <f>IFERROR(H348/每日收盤價!C347,0)</f>
        <v>0</v>
      </c>
      <c r="M347" s="3">
        <f>IFERROR(I348/每日收盤價!D347,0)</f>
        <v>0</v>
      </c>
      <c r="N347" s="3">
        <f>IFERROR(J348/每日收盤價!E347,0)</f>
        <v>0</v>
      </c>
      <c r="O347">
        <f t="shared" si="11"/>
        <v>0</v>
      </c>
    </row>
    <row r="348" spans="1:15">
      <c r="A348" s="9" t="s">
        <v>351</v>
      </c>
      <c r="B348">
        <f>B347*(1+$CD$2)*(1+每日報酬率!B348)</f>
        <v>0</v>
      </c>
      <c r="C348">
        <f>C347*(1+$CD$2)*(1+每日報酬率!C348)</f>
        <v>0.11989058479022976</v>
      </c>
      <c r="D348">
        <f>D347*(1+$CD$2)*(1+每日報酬率!D348)</f>
        <v>1.4830597533510892</v>
      </c>
      <c r="E348">
        <f>E347*(1+$CD$2)*(1+每日報酬率!E348)</f>
        <v>0.10904617062139331</v>
      </c>
      <c r="F348">
        <f t="shared" si="10"/>
        <v>1.7119965087627123</v>
      </c>
      <c r="K348" s="3">
        <f>IFERROR(G349/每日收盤價!B348,0)</f>
        <v>0</v>
      </c>
      <c r="L348" s="3">
        <f>IFERROR(H349/每日收盤價!C348,0)</f>
        <v>0</v>
      </c>
      <c r="M348" s="3">
        <f>IFERROR(I349/每日收盤價!D348,0)</f>
        <v>0</v>
      </c>
      <c r="N348" s="3">
        <f>IFERROR(J349/每日收盤價!E348,0)</f>
        <v>0</v>
      </c>
      <c r="O348">
        <f t="shared" si="11"/>
        <v>0</v>
      </c>
    </row>
    <row r="349" spans="1:15">
      <c r="A349" s="9" t="s">
        <v>352</v>
      </c>
      <c r="B349">
        <f>B348*(1+$CD$2)*(1+每日報酬率!B349)</f>
        <v>0</v>
      </c>
      <c r="C349">
        <f>C348*(1+$CD$2)*(1+每日報酬率!C349)</f>
        <v>0.11989058479022976</v>
      </c>
      <c r="D349">
        <f>D348*(1+$CD$2)*(1+每日報酬率!D349)</f>
        <v>1.5119975046359886</v>
      </c>
      <c r="E349">
        <f>E348*(1+$CD$2)*(1+每日報酬率!E349)</f>
        <v>0.11078395820101711</v>
      </c>
      <c r="F349">
        <f t="shared" si="10"/>
        <v>1.7426720476272355</v>
      </c>
      <c r="G349" s="3">
        <v>7</v>
      </c>
      <c r="K349" s="3">
        <f>IFERROR(G350/每日收盤價!B349,0)</f>
        <v>0</v>
      </c>
      <c r="L349" s="3">
        <f>IFERROR(H350/每日收盤價!C349,0)</f>
        <v>0</v>
      </c>
      <c r="M349" s="3">
        <f>IFERROR(I350/每日收盤價!D349,0)</f>
        <v>0</v>
      </c>
      <c r="N349" s="3">
        <f>IFERROR(J350/每日收盤價!E349,0)</f>
        <v>0</v>
      </c>
      <c r="O349">
        <f t="shared" si="11"/>
        <v>0</v>
      </c>
    </row>
    <row r="350" spans="1:15">
      <c r="A350" s="9" t="s">
        <v>353</v>
      </c>
      <c r="B350">
        <f>B349*(1+$CD$2)*(1+每日報酬率!B350)</f>
        <v>0</v>
      </c>
      <c r="C350">
        <f>C349*(1+$CD$2)*(1+每日報酬率!C350)</f>
        <v>0.12066407243403769</v>
      </c>
      <c r="D350">
        <f>D349*(1+$CD$2)*(1+每日報酬率!D350)</f>
        <v>1.5264663802784384</v>
      </c>
      <c r="E350">
        <f>E349*(1+$CD$2)*(1+每日報酬率!E350)</f>
        <v>0.111652851990829</v>
      </c>
      <c r="F350">
        <f t="shared" si="10"/>
        <v>1.7587833047033052</v>
      </c>
      <c r="K350" s="3">
        <f>IFERROR(G351/每日收盤價!B350,0)</f>
        <v>0</v>
      </c>
      <c r="L350" s="3">
        <f>IFERROR(H351/每日收盤價!C350,0)</f>
        <v>0</v>
      </c>
      <c r="M350" s="3">
        <f>IFERROR(I351/每日收盤價!D350,0)</f>
        <v>0</v>
      </c>
      <c r="N350" s="3">
        <f>IFERROR(J351/每日收盤價!E350,0)</f>
        <v>0</v>
      </c>
      <c r="O350">
        <f t="shared" si="11"/>
        <v>0</v>
      </c>
    </row>
    <row r="351" spans="1:15">
      <c r="A351" s="9" t="s">
        <v>354</v>
      </c>
      <c r="B351">
        <f>B350*(1+$CD$2)*(1+每日報酬率!B351)</f>
        <v>0</v>
      </c>
      <c r="C351">
        <f>C350*(1+$CD$2)*(1+每日報酬率!C351)</f>
        <v>0.11911709714642182</v>
      </c>
      <c r="D351">
        <f>D350*(1+$CD$2)*(1+每日報酬率!D351)</f>
        <v>1.4975286289935392</v>
      </c>
      <c r="E351">
        <f>E350*(1+$CD$2)*(1+每日報酬率!E351)</f>
        <v>0.1099150644112052</v>
      </c>
      <c r="F351">
        <f t="shared" si="10"/>
        <v>1.7265607905511664</v>
      </c>
      <c r="K351" s="3">
        <f>IFERROR(G352/每日收盤價!B351,0)</f>
        <v>0</v>
      </c>
      <c r="L351" s="3">
        <f>IFERROR(H352/每日收盤價!C351,0)</f>
        <v>0</v>
      </c>
      <c r="M351" s="3">
        <f>IFERROR(I352/每日收盤價!D351,0)</f>
        <v>0</v>
      </c>
      <c r="N351" s="3">
        <f>IFERROR(J352/每日收盤價!E351,0)</f>
        <v>0</v>
      </c>
      <c r="O351">
        <f t="shared" si="11"/>
        <v>0</v>
      </c>
    </row>
    <row r="352" spans="1:15">
      <c r="A352" s="9" t="s">
        <v>355</v>
      </c>
      <c r="B352">
        <f>B351*(1+$CD$2)*(1+每日報酬率!B352)</f>
        <v>0</v>
      </c>
      <c r="C352">
        <f>C351*(1+$CD$2)*(1+每日報酬率!C352)</f>
        <v>0.12027732861213374</v>
      </c>
      <c r="D352">
        <f>D351*(1+$CD$2)*(1+每日報酬率!D352)</f>
        <v>1.5264663802784386</v>
      </c>
      <c r="E352">
        <f>E351*(1+$CD$2)*(1+每日報酬率!E352)</f>
        <v>0.10861172372648735</v>
      </c>
      <c r="F352">
        <f t="shared" si="10"/>
        <v>1.7553554326170597</v>
      </c>
      <c r="K352" s="3">
        <f>IFERROR(G353/每日收盤價!B352,0)</f>
        <v>0</v>
      </c>
      <c r="L352" s="3">
        <f>IFERROR(H353/每日收盤價!C352,0)</f>
        <v>0</v>
      </c>
      <c r="M352" s="3">
        <f>IFERROR(I353/每日收盤價!D352,0)</f>
        <v>0</v>
      </c>
      <c r="N352" s="3">
        <f>IFERROR(J353/每日收盤價!E352,0)</f>
        <v>0</v>
      </c>
      <c r="O352">
        <f t="shared" si="11"/>
        <v>0</v>
      </c>
    </row>
    <row r="353" spans="1:15">
      <c r="A353" s="9" t="s">
        <v>356</v>
      </c>
      <c r="B353">
        <f>B352*(1+$CD$2)*(1+每日報酬率!B353)</f>
        <v>0</v>
      </c>
      <c r="C353">
        <f>C352*(1+$CD$2)*(1+每日報酬率!C353)</f>
        <v>0.12066407243403769</v>
      </c>
      <c r="D353">
        <f>D352*(1+$CD$2)*(1+每日報酬率!D353)</f>
        <v>1.4758253155298648</v>
      </c>
      <c r="E353">
        <f>E352*(1+$CD$2)*(1+每日報酬率!E353)</f>
        <v>0.1090461706213933</v>
      </c>
      <c r="F353">
        <f t="shared" si="10"/>
        <v>1.7055355585852958</v>
      </c>
      <c r="K353" s="3">
        <f>IFERROR(G354/每日收盤價!B353,0)</f>
        <v>0</v>
      </c>
      <c r="L353" s="3">
        <f>IFERROR(H354/每日收盤價!C353,0)</f>
        <v>0</v>
      </c>
      <c r="M353" s="3">
        <f>IFERROR(I354/每日收盤價!D353,0)</f>
        <v>0</v>
      </c>
      <c r="N353" s="3">
        <f>IFERROR(J354/每日收盤價!E353,0)</f>
        <v>0</v>
      </c>
      <c r="O353">
        <f t="shared" si="11"/>
        <v>0</v>
      </c>
    </row>
    <row r="354" spans="1:15">
      <c r="A354" s="9" t="s">
        <v>357</v>
      </c>
      <c r="B354">
        <f>B353*(1+$CD$2)*(1+每日報酬率!B354)</f>
        <v>0</v>
      </c>
      <c r="C354">
        <f>C353*(1+$CD$2)*(1+每日報酬率!C354)</f>
        <v>0.12414476683117338</v>
      </c>
      <c r="D354">
        <f>D353*(1+$CD$2)*(1+每日報酬率!D354)</f>
        <v>1.5192319424572136</v>
      </c>
      <c r="E354">
        <f>E353*(1+$CD$2)*(1+每日報酬率!E354)</f>
        <v>0.11034951130611115</v>
      </c>
      <c r="F354">
        <f t="shared" si="10"/>
        <v>1.7537262205944981</v>
      </c>
      <c r="K354" s="3">
        <f>IFERROR(G355/每日收盤價!B354,0)</f>
        <v>0</v>
      </c>
      <c r="L354" s="3">
        <f>IFERROR(H355/每日收盤價!C354,0)</f>
        <v>0</v>
      </c>
      <c r="M354" s="3">
        <f>IFERROR(I355/每日收盤價!D354,0)</f>
        <v>0</v>
      </c>
      <c r="N354" s="3">
        <f>IFERROR(J355/每日收盤價!E354,0)</f>
        <v>0</v>
      </c>
      <c r="O354">
        <f t="shared" si="11"/>
        <v>0</v>
      </c>
    </row>
    <row r="355" spans="1:15">
      <c r="A355" s="9" t="s">
        <v>358</v>
      </c>
      <c r="B355">
        <f>B354*(1+$CD$2)*(1+每日報酬率!B355)</f>
        <v>0</v>
      </c>
      <c r="C355">
        <f>C354*(1+$CD$2)*(1+每日報酬率!C355)</f>
        <v>0.12530499829688527</v>
      </c>
      <c r="D355">
        <f>D354*(1+$CD$2)*(1+每日報酬率!D355)</f>
        <v>1.5481696937421128</v>
      </c>
      <c r="E355">
        <f>E354*(1+$CD$2)*(1+每日報酬率!E355)</f>
        <v>0.11252174578064089</v>
      </c>
      <c r="F355">
        <f t="shared" si="10"/>
        <v>1.7859964378196389</v>
      </c>
      <c r="K355" s="3">
        <f>IFERROR(G356/每日收盤價!B355,0)</f>
        <v>0</v>
      </c>
      <c r="L355" s="3">
        <f>IFERROR(H356/每日收盤價!C355,0)</f>
        <v>0</v>
      </c>
      <c r="M355" s="3">
        <f>IFERROR(I356/每日收盤價!D355,0)</f>
        <v>0</v>
      </c>
      <c r="N355" s="3">
        <f>IFERROR(J356/每日收盤價!E355,0)</f>
        <v>0</v>
      </c>
      <c r="O355">
        <f t="shared" si="11"/>
        <v>0</v>
      </c>
    </row>
    <row r="356" spans="1:15">
      <c r="A356" s="9" t="s">
        <v>359</v>
      </c>
      <c r="B356">
        <f>B355*(1+$CD$2)*(1+每日報酬率!B356)</f>
        <v>0</v>
      </c>
      <c r="C356">
        <f>C355*(1+$CD$2)*(1+每日報酬率!C356)</f>
        <v>0.12607848594069321</v>
      </c>
      <c r="D356">
        <f>D355*(1+$CD$2)*(1+每日報酬率!D356)</f>
        <v>1.5554041315633378</v>
      </c>
      <c r="E356">
        <f>E355*(1+$CD$2)*(1+每日報酬率!E356)</f>
        <v>0.11208729888573495</v>
      </c>
      <c r="F356">
        <f t="shared" si="10"/>
        <v>1.7935699163897658</v>
      </c>
      <c r="K356" s="3">
        <f>IFERROR(G357/每日收盤價!B356,0)</f>
        <v>0</v>
      </c>
      <c r="L356" s="3">
        <f>IFERROR(H357/每日收盤價!C356,0)</f>
        <v>0</v>
      </c>
      <c r="M356" s="3">
        <f>IFERROR(I357/每日收盤價!D356,0)</f>
        <v>0</v>
      </c>
      <c r="N356" s="3">
        <f>IFERROR(J357/每日收盤價!E356,0)</f>
        <v>0</v>
      </c>
      <c r="O356">
        <f t="shared" si="11"/>
        <v>0</v>
      </c>
    </row>
    <row r="357" spans="1:15">
      <c r="A357" s="9" t="s">
        <v>360</v>
      </c>
      <c r="B357">
        <f>B356*(1+$CD$2)*(1+每日報酬率!B357)</f>
        <v>0</v>
      </c>
      <c r="C357">
        <f>C356*(1+$CD$2)*(1+每日報酬率!C357)</f>
        <v>0.12762546122830906</v>
      </c>
      <c r="D357">
        <f>D356*(1+$CD$2)*(1+每日報酬率!D357)</f>
        <v>1.5626385693845628</v>
      </c>
      <c r="E357">
        <f>E356*(1+$CD$2)*(1+每日報酬率!E357)</f>
        <v>0.111652851990829</v>
      </c>
      <c r="F357">
        <f t="shared" si="10"/>
        <v>1.8019168826037009</v>
      </c>
      <c r="K357" s="3">
        <f>IFERROR(G358/每日收盤價!B357,0)</f>
        <v>0</v>
      </c>
      <c r="L357" s="3">
        <f>IFERROR(H358/每日收盤價!C357,0)</f>
        <v>0</v>
      </c>
      <c r="M357" s="3">
        <f>IFERROR(I358/每日收盤價!D357,0)</f>
        <v>0</v>
      </c>
      <c r="N357" s="3">
        <f>IFERROR(J358/每日收盤價!E357,0)</f>
        <v>0</v>
      </c>
      <c r="O357">
        <f t="shared" si="11"/>
        <v>0</v>
      </c>
    </row>
    <row r="358" spans="1:15">
      <c r="A358" s="9" t="s">
        <v>361</v>
      </c>
      <c r="B358">
        <f>B357*(1+$CD$2)*(1+每日報酬率!B358)</f>
        <v>0</v>
      </c>
      <c r="C358">
        <f>C357*(1+$CD$2)*(1+每日報酬率!C358)</f>
        <v>0.12453151065307733</v>
      </c>
      <c r="D358">
        <f>D357*(1+$CD$2)*(1+每日報酬率!D358)</f>
        <v>1.5337008180996636</v>
      </c>
      <c r="E358">
        <f>E357*(1+$CD$2)*(1+每日報酬率!E358)</f>
        <v>0.10861172372648735</v>
      </c>
      <c r="F358">
        <f t="shared" si="10"/>
        <v>1.7668440524792284</v>
      </c>
      <c r="K358" s="3">
        <f>IFERROR(G359/每日收盤價!B358,0)</f>
        <v>0</v>
      </c>
      <c r="L358" s="3">
        <f>IFERROR(H359/每日收盤價!C358,0)</f>
        <v>0</v>
      </c>
      <c r="M358" s="3">
        <f>IFERROR(I359/每日收盤價!D358,0)</f>
        <v>0</v>
      </c>
      <c r="N358" s="3">
        <f>IFERROR(J359/每日收盤價!E358,0)</f>
        <v>0</v>
      </c>
      <c r="O358">
        <f t="shared" si="11"/>
        <v>0</v>
      </c>
    </row>
    <row r="359" spans="1:15">
      <c r="A359" s="9" t="s">
        <v>362</v>
      </c>
      <c r="B359">
        <f>B358*(1+$CD$2)*(1+每日報酬率!B359)</f>
        <v>0</v>
      </c>
      <c r="C359">
        <f>C358*(1+$CD$2)*(1+每日報酬率!C359)</f>
        <v>0.12801220505021302</v>
      </c>
      <c r="D359">
        <f>D358*(1+$CD$2)*(1+每日報酬率!D359)</f>
        <v>1.5698730072057878</v>
      </c>
      <c r="E359">
        <f>E358*(1+$CD$2)*(1+每日報酬率!E359)</f>
        <v>0.11078395820101709</v>
      </c>
      <c r="F359">
        <f t="shared" si="10"/>
        <v>1.8086691704570179</v>
      </c>
      <c r="K359" s="3">
        <f>IFERROR(G360/每日收盤價!B359,0)</f>
        <v>0</v>
      </c>
      <c r="L359" s="3">
        <f>IFERROR(H360/每日收盤價!C359,0)</f>
        <v>3.5045219093655586E-2</v>
      </c>
      <c r="M359" s="3">
        <f>IFERROR(I360/每日收盤價!D359,0)</f>
        <v>0</v>
      </c>
      <c r="N359" s="3">
        <f>IFERROR(J360/每日收盤價!E359,0)</f>
        <v>0</v>
      </c>
      <c r="O359">
        <f t="shared" si="11"/>
        <v>3.5045219093655586E-2</v>
      </c>
    </row>
    <row r="360" spans="1:15">
      <c r="A360" s="9" t="s">
        <v>363</v>
      </c>
      <c r="B360">
        <f>B359*(1+$CD$2)*(1+每日報酬率!B360)</f>
        <v>0</v>
      </c>
      <c r="C360">
        <f>C359*(1+$CD$2)*(1+每日報酬率!C360)</f>
        <v>0.12530499829688524</v>
      </c>
      <c r="D360">
        <f>D359*(1+$CD$2)*(1+每日報酬率!D360)</f>
        <v>1.5698730072057878</v>
      </c>
      <c r="E360">
        <f>E359*(1+$CD$2)*(1+每日報酬率!E360)</f>
        <v>0.11252174578064089</v>
      </c>
      <c r="F360">
        <f t="shared" si="10"/>
        <v>1.8076997512833139</v>
      </c>
      <c r="H360" s="3">
        <v>5.7999837599999999</v>
      </c>
      <c r="K360" s="3">
        <f>IFERROR(G361/每日收盤價!B360,0)</f>
        <v>0</v>
      </c>
      <c r="L360" s="3">
        <f>IFERROR(H361/每日收盤價!C360,0)</f>
        <v>0</v>
      </c>
      <c r="M360" s="3">
        <f>IFERROR(I361/每日收盤價!D360,0)</f>
        <v>0</v>
      </c>
      <c r="N360" s="3">
        <f>IFERROR(J361/每日收盤價!E360,0)</f>
        <v>1.9305187235521236E-2</v>
      </c>
      <c r="O360">
        <f t="shared" si="11"/>
        <v>1.9305187235521236E-2</v>
      </c>
    </row>
    <row r="361" spans="1:15">
      <c r="A361" s="9" t="s">
        <v>364</v>
      </c>
      <c r="B361">
        <f>B360*(1+$CD$2)*(1+每日報酬率!B361)</f>
        <v>0</v>
      </c>
      <c r="C361">
        <f>C360*(1+$CD$2)*(1+每日報酬率!C361)</f>
        <v>0.12685197358450112</v>
      </c>
      <c r="D361">
        <f>D360*(1+$CD$2)*(1+每日報酬率!D361)</f>
        <v>1.5771074450270128</v>
      </c>
      <c r="E361">
        <f>E360*(1+$CD$2)*(1+每日報酬率!E361)</f>
        <v>0.11034951130611115</v>
      </c>
      <c r="F361">
        <f t="shared" si="10"/>
        <v>1.8143089299176252</v>
      </c>
      <c r="J361" s="3">
        <v>25.000217469999999</v>
      </c>
      <c r="K361" s="3">
        <f>IFERROR(G362/每日收盤價!B361,0)</f>
        <v>0</v>
      </c>
      <c r="L361" s="3">
        <f>IFERROR(H362/每日收盤價!C361,0)</f>
        <v>0</v>
      </c>
      <c r="M361" s="3">
        <f>IFERROR(I362/每日收盤價!D361,0)</f>
        <v>0</v>
      </c>
      <c r="N361" s="3">
        <f>IFERROR(J362/每日收盤價!E361,0)</f>
        <v>0</v>
      </c>
      <c r="O361">
        <f t="shared" si="11"/>
        <v>0</v>
      </c>
    </row>
    <row r="362" spans="1:15">
      <c r="A362" s="9" t="s">
        <v>365</v>
      </c>
      <c r="B362">
        <f>B361*(1+$CD$2)*(1+每日報酬率!B362)</f>
        <v>0</v>
      </c>
      <c r="C362">
        <f>C361*(1+$CD$2)*(1+每日報酬率!C362)</f>
        <v>0.12453151065307731</v>
      </c>
      <c r="D362">
        <f>D361*(1+$CD$2)*(1+每日報酬率!D362)</f>
        <v>1.569873007205788</v>
      </c>
      <c r="E362">
        <f>E361*(1+$CD$2)*(1+每日報酬率!E362)</f>
        <v>0.11208729888573495</v>
      </c>
      <c r="F362">
        <f t="shared" si="10"/>
        <v>1.8064918167446002</v>
      </c>
      <c r="K362" s="3">
        <f>IFERROR(G363/每日收盤價!B362,0)</f>
        <v>0</v>
      </c>
      <c r="L362" s="3">
        <f>IFERROR(H363/每日收盤價!C362,0)</f>
        <v>0</v>
      </c>
      <c r="M362" s="3">
        <f>IFERROR(I363/每日收盤價!D362,0)</f>
        <v>0</v>
      </c>
      <c r="N362" s="3">
        <f>IFERROR(J363/每日收盤價!E362,0)</f>
        <v>0</v>
      </c>
      <c r="O362">
        <f t="shared" si="11"/>
        <v>0</v>
      </c>
    </row>
    <row r="363" spans="1:15">
      <c r="A363" s="9" t="s">
        <v>366</v>
      </c>
      <c r="B363">
        <f>B362*(1+$CD$2)*(1+每日報酬率!B363)</f>
        <v>0</v>
      </c>
      <c r="C363">
        <f>C362*(1+$CD$2)*(1+每日報酬率!C363)</f>
        <v>0.12453151065307731</v>
      </c>
      <c r="D363">
        <f>D362*(1+$CD$2)*(1+每日報酬率!D363)</f>
        <v>1.5626385693845632</v>
      </c>
      <c r="E363">
        <f>E362*(1+$CD$2)*(1+每日報酬率!E363)</f>
        <v>0.11121840509592304</v>
      </c>
      <c r="F363">
        <f t="shared" si="10"/>
        <v>1.7983884851335636</v>
      </c>
      <c r="K363" s="3">
        <f>IFERROR(G364/每日收盤價!B363,0)</f>
        <v>0</v>
      </c>
      <c r="L363" s="3">
        <f>IFERROR(H364/每日收盤價!C363,0)</f>
        <v>0</v>
      </c>
      <c r="M363" s="3">
        <f>IFERROR(I364/每日收盤價!D363,0)</f>
        <v>0</v>
      </c>
      <c r="N363" s="3">
        <f>IFERROR(J364/每日收盤價!E363,0)</f>
        <v>0</v>
      </c>
      <c r="O363">
        <f t="shared" si="11"/>
        <v>0</v>
      </c>
    </row>
    <row r="364" spans="1:15">
      <c r="A364" s="9" t="s">
        <v>367</v>
      </c>
      <c r="B364">
        <f>B363*(1+$CD$2)*(1+每日報酬率!B364)</f>
        <v>0</v>
      </c>
      <c r="C364">
        <f>C363*(1+$CD$2)*(1+每日報酬率!C364)</f>
        <v>0.12298453536546144</v>
      </c>
      <c r="D364">
        <f>D363*(1+$CD$2)*(1+每日報酬率!D364)</f>
        <v>1.5626385693845632</v>
      </c>
      <c r="E364">
        <f>E363*(1+$CD$2)*(1+每日報酬率!E364)</f>
        <v>0.11034951130611115</v>
      </c>
      <c r="F364">
        <f t="shared" si="10"/>
        <v>1.7959726160561358</v>
      </c>
      <c r="K364" s="3">
        <f>IFERROR(G365/每日收盤價!B364,0)</f>
        <v>0</v>
      </c>
      <c r="L364" s="3">
        <f>IFERROR(H365/每日收盤價!C364,0)</f>
        <v>0</v>
      </c>
      <c r="M364" s="3">
        <f>IFERROR(I365/每日收盤價!D364,0)</f>
        <v>0</v>
      </c>
      <c r="N364" s="3">
        <f>IFERROR(J365/每日收盤價!E364,0)</f>
        <v>0</v>
      </c>
      <c r="O364">
        <f t="shared" si="11"/>
        <v>0</v>
      </c>
    </row>
    <row r="365" spans="1:15">
      <c r="A365" s="9" t="s">
        <v>368</v>
      </c>
      <c r="B365">
        <f>B364*(1+$CD$2)*(1+每日報酬率!B365)</f>
        <v>0</v>
      </c>
      <c r="C365">
        <f>C364*(1+$CD$2)*(1+每日報酬率!C365)</f>
        <v>0.12453151065307731</v>
      </c>
      <c r="D365">
        <f>D364*(1+$CD$2)*(1+每日報酬率!D365)</f>
        <v>1.5771074450270131</v>
      </c>
      <c r="E365">
        <f>E364*(1+$CD$2)*(1+每日報酬率!E365)</f>
        <v>0.1177351085195123</v>
      </c>
      <c r="F365">
        <f t="shared" si="10"/>
        <v>1.8193740641996028</v>
      </c>
      <c r="K365" s="3">
        <f>IFERROR(G366/每日收盤價!B365,0)</f>
        <v>0</v>
      </c>
      <c r="L365" s="3">
        <f>IFERROR(H366/每日收盤價!C365,0)</f>
        <v>0</v>
      </c>
      <c r="M365" s="3">
        <f>IFERROR(I366/每日收盤價!D365,0)</f>
        <v>0</v>
      </c>
      <c r="N365" s="3">
        <f>IFERROR(J366/每日收盤價!E365,0)</f>
        <v>0</v>
      </c>
      <c r="O365">
        <f t="shared" si="11"/>
        <v>0</v>
      </c>
    </row>
    <row r="366" spans="1:15">
      <c r="A366" s="9" t="s">
        <v>369</v>
      </c>
      <c r="B366">
        <f>B365*(1+$CD$2)*(1+每日報酬率!B366)</f>
        <v>0</v>
      </c>
      <c r="C366">
        <f>C365*(1+$CD$2)*(1+每日報酬率!C366)</f>
        <v>0.12491825447498127</v>
      </c>
      <c r="D366">
        <f>D365*(1+$CD$2)*(1+每日報酬率!D366)</f>
        <v>1.5915763206694626</v>
      </c>
      <c r="E366">
        <f>E365*(1+$CD$2)*(1+每日報酬率!E366)</f>
        <v>0.12164513057366584</v>
      </c>
      <c r="F366">
        <f t="shared" si="10"/>
        <v>1.8381397057181097</v>
      </c>
      <c r="K366" s="3">
        <f>IFERROR(G367/每日收盤價!B366,0)</f>
        <v>0</v>
      </c>
      <c r="L366" s="3">
        <f>IFERROR(H367/每日收盤價!C366,0)</f>
        <v>0</v>
      </c>
      <c r="M366" s="3">
        <f>IFERROR(I367/每日收盤價!D366,0)</f>
        <v>0</v>
      </c>
      <c r="N366" s="3">
        <f>IFERROR(J367/每日收盤價!E366,0)</f>
        <v>0</v>
      </c>
      <c r="O366">
        <f t="shared" si="11"/>
        <v>0</v>
      </c>
    </row>
    <row r="367" spans="1:15">
      <c r="A367" s="9" t="s">
        <v>370</v>
      </c>
      <c r="B367">
        <f>B366*(1+$CD$2)*(1+每日報酬率!B367)</f>
        <v>0</v>
      </c>
      <c r="C367">
        <f>C366*(1+$CD$2)*(1+每日報酬率!C367)</f>
        <v>0.12491825447498127</v>
      </c>
      <c r="D367">
        <f>D366*(1+$CD$2)*(1+每日報酬率!D367)</f>
        <v>1.5915763206694626</v>
      </c>
      <c r="E367">
        <f>E366*(1+$CD$2)*(1+每日報酬率!E367)</f>
        <v>0.12338291815328964</v>
      </c>
      <c r="F367">
        <f t="shared" si="10"/>
        <v>1.8398774932977335</v>
      </c>
      <c r="K367" s="3">
        <f>IFERROR(G368/每日收盤價!B367,0)</f>
        <v>0</v>
      </c>
      <c r="L367" s="3">
        <f>IFERROR(H368/每日收盤價!C367,0)</f>
        <v>0</v>
      </c>
      <c r="M367" s="3">
        <f>IFERROR(I368/每日收盤價!D367,0)</f>
        <v>0</v>
      </c>
      <c r="N367" s="3">
        <f>IFERROR(J368/每日收盤價!E367,0)</f>
        <v>0</v>
      </c>
      <c r="O367">
        <f t="shared" si="11"/>
        <v>0</v>
      </c>
    </row>
    <row r="368" spans="1:15">
      <c r="A368" s="9" t="s">
        <v>371</v>
      </c>
      <c r="B368">
        <f>B367*(1+$CD$2)*(1+每日報酬率!B368)</f>
        <v>0</v>
      </c>
      <c r="C368">
        <f>C367*(1+$CD$2)*(1+每日報酬率!C368)</f>
        <v>0.12414476683117334</v>
      </c>
      <c r="D368">
        <f>D367*(1+$CD$2)*(1+每日報酬率!D368)</f>
        <v>1.5843418828482378</v>
      </c>
      <c r="E368">
        <f>E367*(1+$CD$2)*(1+每日報酬率!E368)</f>
        <v>0.120341789888948</v>
      </c>
      <c r="F368">
        <f t="shared" si="10"/>
        <v>1.8288284395683592</v>
      </c>
      <c r="K368" s="3">
        <f>IFERROR(G369/每日收盤價!B368,0)</f>
        <v>0</v>
      </c>
      <c r="L368" s="3">
        <f>IFERROR(H369/每日收盤價!C368,0)</f>
        <v>0</v>
      </c>
      <c r="M368" s="3">
        <f>IFERROR(I369/每日收盤價!D368,0)</f>
        <v>0</v>
      </c>
      <c r="N368" s="3">
        <f>IFERROR(J369/每日收盤價!E368,0)</f>
        <v>0</v>
      </c>
      <c r="O368">
        <f t="shared" si="11"/>
        <v>0</v>
      </c>
    </row>
    <row r="369" spans="1:15">
      <c r="A369" s="9" t="s">
        <v>372</v>
      </c>
      <c r="B369">
        <f>B368*(1+$CD$2)*(1+每日報酬率!B369)</f>
        <v>0</v>
      </c>
      <c r="C369">
        <f>C368*(1+$CD$2)*(1+每日報酬率!C369)</f>
        <v>0.12607848594069315</v>
      </c>
      <c r="D369">
        <f>D368*(1+$CD$2)*(1+每日報酬率!D369)</f>
        <v>1.6060451963119124</v>
      </c>
      <c r="E369">
        <f>E368*(1+$CD$2)*(1+每日報酬率!E369)</f>
        <v>0.12121068367875991</v>
      </c>
      <c r="F369">
        <f t="shared" si="10"/>
        <v>1.8533343659313655</v>
      </c>
      <c r="K369" s="3">
        <f>IFERROR(G370/每日收盤價!B369,0)</f>
        <v>0</v>
      </c>
      <c r="L369" s="3">
        <f>IFERROR(H370/每日收盤價!C369,0)</f>
        <v>0</v>
      </c>
      <c r="M369" s="3">
        <f>IFERROR(I370/每日收盤價!D369,0)</f>
        <v>0</v>
      </c>
      <c r="N369" s="3">
        <f>IFERROR(J370/每日收盤價!E369,0)</f>
        <v>0</v>
      </c>
      <c r="O369">
        <f t="shared" si="11"/>
        <v>0</v>
      </c>
    </row>
    <row r="370" spans="1:15">
      <c r="A370" s="9" t="s">
        <v>373</v>
      </c>
      <c r="B370">
        <f>B369*(1+$CD$2)*(1+每日報酬率!B370)</f>
        <v>0</v>
      </c>
      <c r="C370">
        <f>C369*(1+$CD$2)*(1+每日報酬率!C370)</f>
        <v>0.1256917421187892</v>
      </c>
      <c r="D370">
        <f>D369*(1+$CD$2)*(1+每日報酬率!D370)</f>
        <v>1.6349829475968118</v>
      </c>
      <c r="E370">
        <f>E369*(1+$CD$2)*(1+每日報酬率!E370)</f>
        <v>0.12251402436347776</v>
      </c>
      <c r="F370">
        <f t="shared" si="10"/>
        <v>1.8831887140790786</v>
      </c>
      <c r="K370" s="3">
        <f>IFERROR(G371/每日收盤價!B370,0)</f>
        <v>0</v>
      </c>
      <c r="L370" s="3">
        <f>IFERROR(H371/每日收盤價!C370,0)</f>
        <v>0</v>
      </c>
      <c r="M370" s="3">
        <f>IFERROR(I371/每日收盤價!D370,0)</f>
        <v>0</v>
      </c>
      <c r="N370" s="3">
        <f>IFERROR(J371/每日收盤價!E370,0)</f>
        <v>0</v>
      </c>
      <c r="O370">
        <f t="shared" si="11"/>
        <v>0</v>
      </c>
    </row>
    <row r="371" spans="1:15">
      <c r="A371" s="9" t="s">
        <v>374</v>
      </c>
      <c r="B371">
        <f>B370*(1+$CD$2)*(1+每日報酬率!B371)</f>
        <v>0</v>
      </c>
      <c r="C371">
        <f>C370*(1+$CD$2)*(1+每日報酬率!C371)</f>
        <v>0.12685197358450109</v>
      </c>
      <c r="D371">
        <f>D370*(1+$CD$2)*(1+每日報酬率!D371)</f>
        <v>1.6349829475968118</v>
      </c>
      <c r="E371">
        <f>E370*(1+$CD$2)*(1+每日報酬率!E371)</f>
        <v>0.12077623678385396</v>
      </c>
      <c r="F371">
        <f t="shared" si="10"/>
        <v>1.882611157965167</v>
      </c>
      <c r="K371" s="3">
        <f>IFERROR(G372/每日收盤價!B371,0)</f>
        <v>0</v>
      </c>
      <c r="L371" s="3">
        <f>IFERROR(H372/每日收盤價!C371,0)</f>
        <v>0</v>
      </c>
      <c r="M371" s="3">
        <f>IFERROR(I372/每日收盤價!D371,0)</f>
        <v>0</v>
      </c>
      <c r="N371" s="3">
        <f>IFERROR(J372/每日收盤價!E371,0)</f>
        <v>0</v>
      </c>
      <c r="O371">
        <f t="shared" si="11"/>
        <v>0</v>
      </c>
    </row>
    <row r="372" spans="1:15">
      <c r="A372" s="9" t="s">
        <v>375</v>
      </c>
      <c r="B372">
        <f>B371*(1+$CD$2)*(1+每日報酬率!B372)</f>
        <v>0</v>
      </c>
      <c r="C372">
        <f>C371*(1+$CD$2)*(1+每日報酬率!C372)</f>
        <v>0.12801220505021299</v>
      </c>
      <c r="D372">
        <f>D371*(1+$CD$2)*(1+每日報酬率!D372)</f>
        <v>1.6711551367029358</v>
      </c>
      <c r="E372">
        <f>E371*(1+$CD$2)*(1+每日報酬率!E372)</f>
        <v>0.12251402436347775</v>
      </c>
      <c r="F372">
        <f t="shared" si="10"/>
        <v>1.9216813661166265</v>
      </c>
      <c r="K372" s="3">
        <f>IFERROR(G373/每日收盤價!B372,0)</f>
        <v>0</v>
      </c>
      <c r="L372" s="3">
        <f>IFERROR(H373/每日收盤價!C372,0)</f>
        <v>0</v>
      </c>
      <c r="M372" s="3">
        <f>IFERROR(I373/每日收盤價!D372,0)</f>
        <v>0</v>
      </c>
      <c r="N372" s="3">
        <f>IFERROR(J373/每日收盤價!E372,0)</f>
        <v>0</v>
      </c>
      <c r="O372">
        <f t="shared" si="11"/>
        <v>0</v>
      </c>
    </row>
    <row r="373" spans="1:15">
      <c r="A373" s="9" t="s">
        <v>376</v>
      </c>
      <c r="B373">
        <f>B372*(1+$CD$2)*(1+每日報酬率!B373)</f>
        <v>0</v>
      </c>
      <c r="C373">
        <f>C372*(1+$CD$2)*(1+每日報酬率!C373)</f>
        <v>0.12762546122830903</v>
      </c>
      <c r="D373">
        <f>D372*(1+$CD$2)*(1+每日報酬率!D373)</f>
        <v>1.663920698881711</v>
      </c>
      <c r="E373">
        <f>E372*(1+$CD$2)*(1+每日報酬率!E373)</f>
        <v>0.1238173650481956</v>
      </c>
      <c r="F373">
        <f t="shared" si="10"/>
        <v>1.9153635251582155</v>
      </c>
      <c r="K373" s="3">
        <f>IFERROR(G374/每日收盤價!B373,0)</f>
        <v>0</v>
      </c>
      <c r="L373" s="3">
        <f>IFERROR(H374/每日收盤價!C373,0)</f>
        <v>0</v>
      </c>
      <c r="M373" s="3">
        <f>IFERROR(I374/每日收盤價!D373,0)</f>
        <v>0</v>
      </c>
      <c r="N373" s="3">
        <f>IFERROR(J374/每日收盤價!E373,0)</f>
        <v>0</v>
      </c>
      <c r="O373">
        <f t="shared" si="11"/>
        <v>0</v>
      </c>
    </row>
    <row r="374" spans="1:15">
      <c r="A374" s="9" t="s">
        <v>377</v>
      </c>
      <c r="B374">
        <f>B373*(1+$CD$2)*(1+每日報酬率!B374)</f>
        <v>0</v>
      </c>
      <c r="C374">
        <f>C373*(1+$CD$2)*(1+每日報酬率!C374)</f>
        <v>0.12530499829688524</v>
      </c>
      <c r="D374">
        <f>D373*(1+$CD$2)*(1+每日報酬率!D374)</f>
        <v>1.6349829475968116</v>
      </c>
      <c r="E374">
        <f>E373*(1+$CD$2)*(1+每日報酬率!E374)</f>
        <v>0.12425181194310154</v>
      </c>
      <c r="F374">
        <f t="shared" si="10"/>
        <v>1.8845397578367984</v>
      </c>
      <c r="K374" s="3">
        <f>IFERROR(G375/每日收盤價!B374,0)</f>
        <v>0</v>
      </c>
      <c r="L374" s="3">
        <f>IFERROR(H375/每日收盤價!C374,0)</f>
        <v>0</v>
      </c>
      <c r="M374" s="3">
        <f>IFERROR(I375/每日收盤價!D374,0)</f>
        <v>0</v>
      </c>
      <c r="N374" s="3">
        <f>IFERROR(J375/每日收盤價!E374,0)</f>
        <v>0</v>
      </c>
      <c r="O374">
        <f t="shared" si="11"/>
        <v>0</v>
      </c>
    </row>
    <row r="375" spans="1:15">
      <c r="A375" s="9" t="s">
        <v>378</v>
      </c>
      <c r="B375">
        <f>B374*(1+$CD$2)*(1+每日報酬率!B375)</f>
        <v>0</v>
      </c>
      <c r="C375">
        <f>C374*(1+$CD$2)*(1+每日報酬率!C375)</f>
        <v>0.12839894887211697</v>
      </c>
      <c r="D375">
        <f>D374*(1+$CD$2)*(1+每日報酬率!D375)</f>
        <v>1.656686261060486</v>
      </c>
      <c r="E375">
        <f>E374*(1+$CD$2)*(1+每日報酬率!E375)</f>
        <v>0.12425181194310154</v>
      </c>
      <c r="F375">
        <f t="shared" si="10"/>
        <v>1.9093370218757044</v>
      </c>
      <c r="K375" s="3">
        <f>IFERROR(G376/每日收盤價!B375,0)</f>
        <v>0</v>
      </c>
      <c r="L375" s="3">
        <f>IFERROR(H376/每日收盤價!C375,0)</f>
        <v>0</v>
      </c>
      <c r="M375" s="3">
        <f>IFERROR(I376/每日收盤價!D375,0)</f>
        <v>0</v>
      </c>
      <c r="N375" s="3">
        <f>IFERROR(J376/每日收盤價!E375,0)</f>
        <v>0</v>
      </c>
      <c r="O375">
        <f t="shared" si="11"/>
        <v>0</v>
      </c>
    </row>
    <row r="376" spans="1:15">
      <c r="A376" s="9" t="s">
        <v>379</v>
      </c>
      <c r="B376">
        <f>B375*(1+$CD$2)*(1+每日報酬率!B376)</f>
        <v>0</v>
      </c>
      <c r="C376">
        <f>C375*(1+$CD$2)*(1+每日報酬率!C376)</f>
        <v>0.13458685002258045</v>
      </c>
      <c r="D376">
        <f>D375*(1+$CD$2)*(1+每日報酬率!D376)</f>
        <v>1.656686261060486</v>
      </c>
      <c r="E376">
        <f>E375*(1+$CD$2)*(1+每日報酬率!E376)</f>
        <v>0.12425181194310154</v>
      </c>
      <c r="F376">
        <f t="shared" si="10"/>
        <v>1.9155249230261679</v>
      </c>
      <c r="K376" s="3">
        <f>IFERROR(G377/每日收盤價!B376,0)</f>
        <v>0</v>
      </c>
      <c r="L376" s="3">
        <f>IFERROR(H377/每日收盤價!C376,0)</f>
        <v>0</v>
      </c>
      <c r="M376" s="3">
        <f>IFERROR(I377/每日收盤價!D376,0)</f>
        <v>0</v>
      </c>
      <c r="N376" s="3">
        <f>IFERROR(J377/每日收盤價!E376,0)</f>
        <v>0</v>
      </c>
      <c r="O376">
        <f t="shared" si="11"/>
        <v>0</v>
      </c>
    </row>
    <row r="377" spans="1:15">
      <c r="A377" s="9" t="s">
        <v>380</v>
      </c>
      <c r="B377">
        <f>B376*(1+$CD$2)*(1+每日報酬率!B377)</f>
        <v>0</v>
      </c>
      <c r="C377">
        <f>C376*(1+$CD$2)*(1+每日報酬率!C377)</f>
        <v>0.1349735938444844</v>
      </c>
      <c r="D377">
        <f>D376*(1+$CD$2)*(1+每日報酬率!D377)</f>
        <v>1.656686261060486</v>
      </c>
      <c r="E377">
        <f>E376*(1+$CD$2)*(1+每日報酬率!E377)</f>
        <v>0.12425181194310154</v>
      </c>
      <c r="F377">
        <f t="shared" si="10"/>
        <v>1.915911666848072</v>
      </c>
      <c r="K377" s="3">
        <f>IFERROR(G378/每日收盤價!B377,0)</f>
        <v>0</v>
      </c>
      <c r="L377" s="3">
        <f>IFERROR(H378/每日收盤價!C377,0)</f>
        <v>0</v>
      </c>
      <c r="M377" s="3">
        <f>IFERROR(I378/每日收盤價!D377,0)</f>
        <v>0</v>
      </c>
      <c r="N377" s="3">
        <f>IFERROR(J378/每日收盤價!E377,0)</f>
        <v>0</v>
      </c>
      <c r="O377">
        <f t="shared" si="11"/>
        <v>0</v>
      </c>
    </row>
    <row r="378" spans="1:15">
      <c r="A378" s="9" t="s">
        <v>381</v>
      </c>
      <c r="B378">
        <f>B377*(1+$CD$2)*(1+每日報酬率!B378)</f>
        <v>0</v>
      </c>
      <c r="C378">
        <f>C377*(1+$CD$2)*(1+每日報酬率!C378)</f>
        <v>0.1361338253101963</v>
      </c>
      <c r="D378">
        <f>D377*(1+$CD$2)*(1+每日報酬率!D378)</f>
        <v>1.656686261060486</v>
      </c>
      <c r="E378">
        <f>E377*(1+$CD$2)*(1+每日報酬率!E378)</f>
        <v>0.12164513057366586</v>
      </c>
      <c r="F378">
        <f t="shared" si="10"/>
        <v>1.9144652169443481</v>
      </c>
      <c r="K378" s="3">
        <f>IFERROR(G379/每日收盤價!B378,0)</f>
        <v>0</v>
      </c>
      <c r="L378" s="3">
        <f>IFERROR(H379/每日收盤價!C378,0)</f>
        <v>0</v>
      </c>
      <c r="M378" s="3">
        <f>IFERROR(I379/每日收盤價!D378,0)</f>
        <v>0</v>
      </c>
      <c r="N378" s="3">
        <f>IFERROR(J379/每日收盤價!E378,0)</f>
        <v>0</v>
      </c>
      <c r="O378">
        <f t="shared" si="11"/>
        <v>0</v>
      </c>
    </row>
    <row r="379" spans="1:15">
      <c r="A379" s="9" t="s">
        <v>382</v>
      </c>
      <c r="B379">
        <f>B378*(1+$CD$2)*(1+每日報酬率!B379)</f>
        <v>0</v>
      </c>
      <c r="C379">
        <f>C378*(1+$CD$2)*(1+每日報酬率!C379)</f>
        <v>0.13265313091306061</v>
      </c>
      <c r="D379">
        <f>D378*(1+$CD$2)*(1+每日報酬率!D379)</f>
        <v>1.6422173854180364</v>
      </c>
      <c r="E379">
        <f>E378*(1+$CD$2)*(1+每日報酬率!E379)</f>
        <v>0.11816955541441826</v>
      </c>
      <c r="F379">
        <f t="shared" si="10"/>
        <v>1.8930400717455151</v>
      </c>
      <c r="K379" s="3">
        <f>IFERROR(G380/每日收盤價!B379,0)</f>
        <v>0</v>
      </c>
      <c r="L379" s="3">
        <f>IFERROR(H380/每日收盤價!C379,0)</f>
        <v>0</v>
      </c>
      <c r="M379" s="3">
        <f>IFERROR(I380/每日收盤價!D379,0)</f>
        <v>0</v>
      </c>
      <c r="N379" s="3">
        <f>IFERROR(J380/每日收盤價!E379,0)</f>
        <v>0</v>
      </c>
      <c r="O379">
        <f t="shared" si="11"/>
        <v>0</v>
      </c>
    </row>
    <row r="380" spans="1:15">
      <c r="A380" s="9" t="s">
        <v>383</v>
      </c>
      <c r="B380">
        <f>B379*(1+$CD$2)*(1+每日報酬率!B380)</f>
        <v>0</v>
      </c>
      <c r="C380">
        <f>C379*(1+$CD$2)*(1+每日報酬率!C380)</f>
        <v>0.13265313091306061</v>
      </c>
      <c r="D380">
        <f>D379*(1+$CD$2)*(1+每日報酬率!D380)</f>
        <v>1.6711551367029356</v>
      </c>
      <c r="E380">
        <f>E379*(1+$CD$2)*(1+每日報酬率!E380)</f>
        <v>0.11990734299404206</v>
      </c>
      <c r="F380">
        <f t="shared" si="10"/>
        <v>1.9237156106100382</v>
      </c>
      <c r="K380" s="3">
        <f>IFERROR(G381/每日收盤價!B380,0)</f>
        <v>0</v>
      </c>
      <c r="L380" s="3">
        <f>IFERROR(H381/每日收盤價!C380,0)</f>
        <v>0</v>
      </c>
      <c r="M380" s="3">
        <f>IFERROR(I381/每日收盤價!D380,0)</f>
        <v>0</v>
      </c>
      <c r="N380" s="3">
        <f>IFERROR(J381/每日收盤價!E380,0)</f>
        <v>0</v>
      </c>
      <c r="O380">
        <f t="shared" si="11"/>
        <v>0</v>
      </c>
    </row>
    <row r="381" spans="1:15">
      <c r="A381" s="9" t="s">
        <v>384</v>
      </c>
      <c r="B381">
        <f>B380*(1+$CD$2)*(1+每日報酬率!B381)</f>
        <v>0</v>
      </c>
      <c r="C381">
        <f>C380*(1+$CD$2)*(1+每日報酬率!C381)</f>
        <v>0.13768080059781218</v>
      </c>
      <c r="D381">
        <f>D380*(1+$CD$2)*(1+每日報酬率!D381)</f>
        <v>1.6783895745241604</v>
      </c>
      <c r="E381">
        <f>E380*(1+$CD$2)*(1+每日報酬率!E381)</f>
        <v>0.11903844920423015</v>
      </c>
      <c r="F381">
        <f t="shared" si="10"/>
        <v>1.9351088243262027</v>
      </c>
      <c r="K381" s="3">
        <f>IFERROR(G382/每日收盤價!B381,0)</f>
        <v>0</v>
      </c>
      <c r="L381" s="3">
        <f>IFERROR(H382/每日收盤價!C381,0)</f>
        <v>0</v>
      </c>
      <c r="M381" s="3">
        <f>IFERROR(I382/每日收盤價!D381,0)</f>
        <v>0</v>
      </c>
      <c r="N381" s="3">
        <f>IFERROR(J382/每日收盤價!E381,0)</f>
        <v>0</v>
      </c>
      <c r="O381">
        <f t="shared" si="11"/>
        <v>0</v>
      </c>
    </row>
    <row r="382" spans="1:15">
      <c r="A382" s="9" t="s">
        <v>385</v>
      </c>
      <c r="B382">
        <f>B381*(1+$CD$2)*(1+每日報酬率!B382)</f>
        <v>0</v>
      </c>
      <c r="C382">
        <f>C381*(1+$CD$2)*(1+每日報酬率!C382)</f>
        <v>0.14038800735113996</v>
      </c>
      <c r="D382">
        <f>D381*(1+$CD$2)*(1+每日報酬率!D382)</f>
        <v>1.649451823239261</v>
      </c>
      <c r="E382">
        <f>E381*(1+$CD$2)*(1+每日報酬率!E382)</f>
        <v>0.11730066162460635</v>
      </c>
      <c r="F382">
        <f t="shared" si="10"/>
        <v>1.9071404922150073</v>
      </c>
      <c r="K382" s="3">
        <f>IFERROR(G383/每日收盤價!B382,0)</f>
        <v>0</v>
      </c>
      <c r="L382" s="3">
        <f>IFERROR(H383/每日收盤價!C382,0)</f>
        <v>0</v>
      </c>
      <c r="M382" s="3">
        <f>IFERROR(I383/每日收盤價!D382,0)</f>
        <v>0</v>
      </c>
      <c r="N382" s="3">
        <f>IFERROR(J383/每日收盤價!E382,0)</f>
        <v>0</v>
      </c>
      <c r="O382">
        <f t="shared" si="11"/>
        <v>0</v>
      </c>
    </row>
    <row r="383" spans="1:15">
      <c r="A383" s="9" t="s">
        <v>386</v>
      </c>
      <c r="B383">
        <f>B382*(1+$CD$2)*(1+每日報酬率!B383)</f>
        <v>0</v>
      </c>
      <c r="C383">
        <f>C382*(1+$CD$2)*(1+每日報酬率!C383)</f>
        <v>0.13922777588542806</v>
      </c>
      <c r="D383">
        <f>D382*(1+$CD$2)*(1+每日報酬率!D383)</f>
        <v>1.6422173854180362</v>
      </c>
      <c r="E383">
        <f>E382*(1+$CD$2)*(1+每日報酬率!E383)</f>
        <v>0.11556287404498256</v>
      </c>
      <c r="F383">
        <f t="shared" si="10"/>
        <v>1.8970080353484469</v>
      </c>
      <c r="K383" s="3">
        <f>IFERROR(G384/每日收盤價!B383,0)</f>
        <v>0</v>
      </c>
      <c r="L383" s="3">
        <f>IFERROR(H384/每日收盤價!C383,0)</f>
        <v>0</v>
      </c>
      <c r="M383" s="3">
        <f>IFERROR(I384/每日收盤價!D383,0)</f>
        <v>0</v>
      </c>
      <c r="N383" s="3">
        <f>IFERROR(J384/每日收盤價!E383,0)</f>
        <v>0</v>
      </c>
      <c r="O383">
        <f t="shared" si="11"/>
        <v>0</v>
      </c>
    </row>
    <row r="384" spans="1:15">
      <c r="A384" s="9" t="s">
        <v>387</v>
      </c>
      <c r="B384">
        <f>B383*(1+$CD$2)*(1+每日報酬率!B384)</f>
        <v>0</v>
      </c>
      <c r="C384">
        <f>C383*(1+$CD$2)*(1+每日報酬率!C384)</f>
        <v>0.14270847028256375</v>
      </c>
      <c r="D384">
        <f>D383*(1+$CD$2)*(1+每日報酬率!D384)</f>
        <v>1.6639206988817108</v>
      </c>
      <c r="E384">
        <f>E383*(1+$CD$2)*(1+每日報酬率!E384)</f>
        <v>0.11643176783479446</v>
      </c>
      <c r="F384">
        <f t="shared" si="10"/>
        <v>1.923060936999069</v>
      </c>
      <c r="K384" s="3">
        <f>IFERROR(G385/每日收盤價!B384,0)</f>
        <v>0</v>
      </c>
      <c r="L384" s="3">
        <f>IFERROR(H385/每日收盤價!C384,0)</f>
        <v>0</v>
      </c>
      <c r="M384" s="3">
        <f>IFERROR(I385/每日收盤價!D384,0)</f>
        <v>0</v>
      </c>
      <c r="N384" s="3">
        <f>IFERROR(J385/每日收盤價!E384,0)</f>
        <v>0</v>
      </c>
      <c r="O384">
        <f t="shared" si="11"/>
        <v>0</v>
      </c>
    </row>
    <row r="385" spans="1:15">
      <c r="A385" s="9" t="s">
        <v>388</v>
      </c>
      <c r="B385">
        <f>B384*(1+$CD$2)*(1+每日報酬率!B385)</f>
        <v>0</v>
      </c>
      <c r="C385">
        <f>C384*(1+$CD$2)*(1+每日報酬率!C385)</f>
        <v>0.14386870174827565</v>
      </c>
      <c r="D385">
        <f>D384*(1+$CD$2)*(1+每日報酬率!D385)</f>
        <v>1.6277485097755866</v>
      </c>
      <c r="E385">
        <f>E384*(1+$CD$2)*(1+每日報酬率!E385)</f>
        <v>0.11469398025517066</v>
      </c>
      <c r="F385">
        <f t="shared" si="10"/>
        <v>1.8863111917790329</v>
      </c>
      <c r="K385" s="3">
        <f>IFERROR(G386/每日收盤價!B385,0)</f>
        <v>0</v>
      </c>
      <c r="L385" s="3">
        <f>IFERROR(H386/每日收盤價!C385,0)</f>
        <v>0</v>
      </c>
      <c r="M385" s="3">
        <f>IFERROR(I386/每日收盤價!D385,0)</f>
        <v>0</v>
      </c>
      <c r="N385" s="3">
        <f>IFERROR(J386/每日收盤價!E385,0)</f>
        <v>0</v>
      </c>
      <c r="O385">
        <f t="shared" si="11"/>
        <v>0</v>
      </c>
    </row>
    <row r="386" spans="1:15">
      <c r="A386" s="9" t="s">
        <v>389</v>
      </c>
      <c r="B386">
        <f>B385*(1+$CD$2)*(1+每日報酬率!B386)</f>
        <v>0</v>
      </c>
      <c r="C386">
        <f>C385*(1+$CD$2)*(1+每日報酬率!C386)</f>
        <v>0.15044334672064308</v>
      </c>
      <c r="D386">
        <f>D385*(1+$CD$2)*(1+每日報酬率!D386)</f>
        <v>1.7073273258090598</v>
      </c>
      <c r="E386">
        <f>E385*(1+$CD$2)*(1+每日報酬率!E386)</f>
        <v>0.11773510851951231</v>
      </c>
      <c r="F386">
        <f t="shared" si="10"/>
        <v>1.9755057810492154</v>
      </c>
      <c r="K386" s="3">
        <f>IFERROR(G387/每日收盤價!B386,0)</f>
        <v>0</v>
      </c>
      <c r="L386" s="3">
        <f>IFERROR(H387/每日收盤價!C386,0)</f>
        <v>0</v>
      </c>
      <c r="M386" s="3">
        <f>IFERROR(I387/每日收盤價!D386,0)</f>
        <v>0</v>
      </c>
      <c r="N386" s="3">
        <f>IFERROR(J387/每日收盤價!E386,0)</f>
        <v>0</v>
      </c>
      <c r="O386">
        <f t="shared" si="11"/>
        <v>0</v>
      </c>
    </row>
    <row r="387" spans="1:15">
      <c r="A387" s="9" t="s">
        <v>390</v>
      </c>
      <c r="B387">
        <f>B386*(1+$CD$2)*(1+每日報酬率!B387)</f>
        <v>0</v>
      </c>
      <c r="C387">
        <f>C386*(1+$CD$2)*(1+每日報酬率!C387)</f>
        <v>0.15044334672064308</v>
      </c>
      <c r="D387">
        <f>D386*(1+$CD$2)*(1+每日報酬率!D387)</f>
        <v>1.700092887987835</v>
      </c>
      <c r="E387">
        <f>E386*(1+$CD$2)*(1+每日報酬率!E387)</f>
        <v>0.11730066162460637</v>
      </c>
      <c r="F387">
        <f t="shared" ref="F387:F450" si="12">SUM(B387:E387)</f>
        <v>1.9678368963330843</v>
      </c>
      <c r="K387" s="3">
        <f>IFERROR(G388/每日收盤價!B387,0)</f>
        <v>0</v>
      </c>
      <c r="L387" s="3">
        <f>IFERROR(H388/每日收盤價!C387,0)</f>
        <v>0</v>
      </c>
      <c r="M387" s="3">
        <f>IFERROR(I388/每日收盤價!D387,0)</f>
        <v>0</v>
      </c>
      <c r="N387" s="3">
        <f>IFERROR(J388/每日收盤價!E387,0)</f>
        <v>0</v>
      </c>
      <c r="O387">
        <f t="shared" ref="O387:O450" si="13">SUM(K387:N387)</f>
        <v>0</v>
      </c>
    </row>
    <row r="388" spans="1:15">
      <c r="A388" s="9" t="s">
        <v>391</v>
      </c>
      <c r="B388">
        <f>B387*(1+$CD$2)*(1+每日報酬率!B388)</f>
        <v>0</v>
      </c>
      <c r="C388">
        <f>C387*(1+$CD$2)*(1+每日報酬率!C388)</f>
        <v>0.15315055347397086</v>
      </c>
      <c r="D388">
        <f>D387*(1+$CD$2)*(1+每日報酬率!D388)</f>
        <v>1.7073273258090595</v>
      </c>
      <c r="E388">
        <f>E387*(1+$CD$2)*(1+每日報酬率!E388)</f>
        <v>0.11773510851951233</v>
      </c>
      <c r="F388">
        <f t="shared" si="12"/>
        <v>1.9782129878025427</v>
      </c>
      <c r="K388" s="3">
        <f>IFERROR(G389/每日收盤價!B388,0)</f>
        <v>0</v>
      </c>
      <c r="L388" s="3">
        <f>IFERROR(H389/每日收盤價!C388,0)</f>
        <v>0</v>
      </c>
      <c r="M388" s="3">
        <f>IFERROR(I389/每日收盤價!D388,0)</f>
        <v>0</v>
      </c>
      <c r="N388" s="3">
        <f>IFERROR(J389/每日收盤價!E388,0)</f>
        <v>0</v>
      </c>
      <c r="O388">
        <f t="shared" si="13"/>
        <v>0</v>
      </c>
    </row>
    <row r="389" spans="1:15">
      <c r="A389" s="9" t="s">
        <v>392</v>
      </c>
      <c r="B389">
        <f>B388*(1+$CD$2)*(1+每日報酬率!B389)</f>
        <v>0</v>
      </c>
      <c r="C389">
        <f>C388*(1+$CD$2)*(1+每日報酬率!C389)</f>
        <v>0.15237706583016292</v>
      </c>
      <c r="D389">
        <f>D388*(1+$CD$2)*(1+每日報酬率!D389)</f>
        <v>1.7073273258090595</v>
      </c>
      <c r="E389">
        <f>E388*(1+$CD$2)*(1+每日報酬率!E389)</f>
        <v>0.11816955541441827</v>
      </c>
      <c r="F389">
        <f t="shared" si="12"/>
        <v>1.9778739470536406</v>
      </c>
      <c r="K389" s="3">
        <f>IFERROR(G390/每日收盤價!B389,0)</f>
        <v>0</v>
      </c>
      <c r="L389" s="3">
        <f>IFERROR(H390/每日收盤價!C389,0)</f>
        <v>0</v>
      </c>
      <c r="M389" s="3">
        <f>IFERROR(I390/每日收盤價!D389,0)</f>
        <v>0</v>
      </c>
      <c r="N389" s="3">
        <f>IFERROR(J390/每日收盤價!E389,0)</f>
        <v>0</v>
      </c>
      <c r="O389">
        <f t="shared" si="13"/>
        <v>0</v>
      </c>
    </row>
    <row r="390" spans="1:15">
      <c r="A390" s="9" t="s">
        <v>393</v>
      </c>
      <c r="B390">
        <f>B389*(1+$CD$2)*(1+每日報酬率!B390)</f>
        <v>0</v>
      </c>
      <c r="C390">
        <f>C389*(1+$CD$2)*(1+每日報酬率!C390)</f>
        <v>0.15353729729587481</v>
      </c>
      <c r="D390">
        <f>D389*(1+$CD$2)*(1+每日報酬率!D390)</f>
        <v>1.7362650770939587</v>
      </c>
      <c r="E390">
        <f>E389*(1+$CD$2)*(1+每日報酬率!E390)</f>
        <v>0.11903844920423017</v>
      </c>
      <c r="F390">
        <f t="shared" si="12"/>
        <v>2.0088408235940638</v>
      </c>
      <c r="K390" s="3">
        <f>IFERROR(G391/每日收盤價!B390,0)</f>
        <v>0</v>
      </c>
      <c r="L390" s="3">
        <f>IFERROR(H391/每日收盤價!C390,0)</f>
        <v>0</v>
      </c>
      <c r="M390" s="3">
        <f>IFERROR(I391/每日收盤價!D390,0)</f>
        <v>0</v>
      </c>
      <c r="N390" s="3">
        <f>IFERROR(J391/每日收盤價!E390,0)</f>
        <v>0</v>
      </c>
      <c r="O390">
        <f t="shared" si="13"/>
        <v>0</v>
      </c>
    </row>
    <row r="391" spans="1:15">
      <c r="A391" s="9" t="s">
        <v>394</v>
      </c>
      <c r="B391">
        <f>B390*(1+$CD$2)*(1+每日報酬率!B391)</f>
        <v>0</v>
      </c>
      <c r="C391">
        <f>C390*(1+$CD$2)*(1+每日報酬率!C391)</f>
        <v>0.15431078493968273</v>
      </c>
      <c r="D391">
        <f>D390*(1+$CD$2)*(1+每日報酬率!D391)</f>
        <v>1.7000928879878345</v>
      </c>
      <c r="E391">
        <f>E390*(1+$CD$2)*(1+每日報酬率!E391)</f>
        <v>0.12077623678385396</v>
      </c>
      <c r="F391">
        <f t="shared" si="12"/>
        <v>1.9751799097113714</v>
      </c>
      <c r="K391" s="3">
        <f>IFERROR(G392/每日收盤價!B391,0)</f>
        <v>0</v>
      </c>
      <c r="L391" s="3">
        <f>IFERROR(H392/每日收盤價!C391,0)</f>
        <v>0</v>
      </c>
      <c r="M391" s="3">
        <f>IFERROR(I392/每日收盤價!D391,0)</f>
        <v>0</v>
      </c>
      <c r="N391" s="3">
        <f>IFERROR(J392/每日收盤價!E391,0)</f>
        <v>0</v>
      </c>
      <c r="O391">
        <f t="shared" si="13"/>
        <v>0</v>
      </c>
    </row>
    <row r="392" spans="1:15">
      <c r="A392" s="9" t="s">
        <v>395</v>
      </c>
      <c r="B392">
        <f>B391*(1+$CD$2)*(1+每日報酬率!B392)</f>
        <v>0</v>
      </c>
      <c r="C392">
        <f>C391*(1+$CD$2)*(1+每日報酬率!C392)</f>
        <v>0.16011194226824224</v>
      </c>
      <c r="D392">
        <f>D391*(1+$CD$2)*(1+每日報酬率!D392)</f>
        <v>1.7073273258090591</v>
      </c>
      <c r="E392">
        <f>E391*(1+$CD$2)*(1+每日報酬率!E392)</f>
        <v>0.11903844920423017</v>
      </c>
      <c r="F392">
        <f t="shared" si="12"/>
        <v>1.9864777172815316</v>
      </c>
      <c r="K392" s="3">
        <f>IFERROR(G393/每日收盤價!B392,0)</f>
        <v>0</v>
      </c>
      <c r="L392" s="3">
        <f>IFERROR(H393/每日收盤價!C392,0)</f>
        <v>0</v>
      </c>
      <c r="M392" s="3">
        <f>IFERROR(I393/每日收盤價!D392,0)</f>
        <v>0</v>
      </c>
      <c r="N392" s="3">
        <f>IFERROR(J393/每日收盤價!E392,0)</f>
        <v>0</v>
      </c>
      <c r="O392">
        <f t="shared" si="13"/>
        <v>0</v>
      </c>
    </row>
    <row r="393" spans="1:15">
      <c r="A393" s="9" t="s">
        <v>396</v>
      </c>
      <c r="B393">
        <f>B392*(1+$CD$2)*(1+每日報酬率!B393)</f>
        <v>0</v>
      </c>
      <c r="C393">
        <f>C392*(1+$CD$2)*(1+每日報酬率!C393)</f>
        <v>0.16243240519966606</v>
      </c>
      <c r="D393">
        <f>D392*(1+$CD$2)*(1+每日報酬率!D393)</f>
        <v>1.7073273258090591</v>
      </c>
      <c r="E393">
        <f>E392*(1+$CD$2)*(1+每日報酬率!E393)</f>
        <v>0.12251402436347776</v>
      </c>
      <c r="F393">
        <f t="shared" si="12"/>
        <v>1.992273755372203</v>
      </c>
      <c r="K393" s="3">
        <f>IFERROR(G394/每日收盤價!B393,0)</f>
        <v>0</v>
      </c>
      <c r="L393" s="3">
        <f>IFERROR(H394/每日收盤價!C393,0)</f>
        <v>0</v>
      </c>
      <c r="M393" s="3">
        <f>IFERROR(I394/每日收盤價!D393,0)</f>
        <v>0</v>
      </c>
      <c r="N393" s="3">
        <f>IFERROR(J394/每日收盤價!E393,0)</f>
        <v>0</v>
      </c>
      <c r="O393">
        <f t="shared" si="13"/>
        <v>0</v>
      </c>
    </row>
    <row r="394" spans="1:15">
      <c r="A394" s="9" t="s">
        <v>397</v>
      </c>
      <c r="B394">
        <f>B393*(1+$CD$2)*(1+每日報酬率!B394)</f>
        <v>0</v>
      </c>
      <c r="C394">
        <f>C393*(1+$CD$2)*(1+每日報酬率!C394)</f>
        <v>0.16088542991205021</v>
      </c>
      <c r="D394">
        <f>D393*(1+$CD$2)*(1+每日報酬率!D394)</f>
        <v>1.7145617636302839</v>
      </c>
      <c r="E394">
        <f>E393*(1+$CD$2)*(1+每日報酬率!E394)</f>
        <v>0.12077623678385396</v>
      </c>
      <c r="F394">
        <f t="shared" si="12"/>
        <v>1.9962234303261881</v>
      </c>
      <c r="K394" s="3">
        <f>IFERROR(G395/每日收盤價!B394,0)</f>
        <v>0</v>
      </c>
      <c r="L394" s="3">
        <f>IFERROR(H395/每日收盤價!C394,0)</f>
        <v>0</v>
      </c>
      <c r="M394" s="3">
        <f>IFERROR(I395/每日收盤價!D394,0)</f>
        <v>0</v>
      </c>
      <c r="N394" s="3">
        <f>IFERROR(J395/每日收盤價!E394,0)</f>
        <v>0</v>
      </c>
      <c r="O394">
        <f t="shared" si="13"/>
        <v>0</v>
      </c>
    </row>
    <row r="395" spans="1:15">
      <c r="A395" s="9" t="s">
        <v>398</v>
      </c>
      <c r="B395">
        <f>B394*(1+$CD$2)*(1+每日報酬率!B395)</f>
        <v>0</v>
      </c>
      <c r="C395">
        <f>C394*(1+$CD$2)*(1+每日報酬率!C395)</f>
        <v>0.15508427258349072</v>
      </c>
      <c r="D395">
        <f>D394*(1+$CD$2)*(1+每日報酬率!D395)</f>
        <v>1.6422173854180355</v>
      </c>
      <c r="E395">
        <f>E394*(1+$CD$2)*(1+每日報酬率!E395)</f>
        <v>0.11773510851951233</v>
      </c>
      <c r="F395">
        <f t="shared" si="12"/>
        <v>1.9150367665210386</v>
      </c>
      <c r="K395" s="3">
        <f>IFERROR(G396/每日收盤價!B395,0)</f>
        <v>0</v>
      </c>
      <c r="L395" s="3">
        <f>IFERROR(H396/每日收盤價!C395,0)</f>
        <v>0</v>
      </c>
      <c r="M395" s="3">
        <f>IFERROR(I396/每日收盤價!D395,0)</f>
        <v>0</v>
      </c>
      <c r="N395" s="3">
        <f>IFERROR(J396/每日收盤價!E395,0)</f>
        <v>0</v>
      </c>
      <c r="O395">
        <f t="shared" si="13"/>
        <v>0</v>
      </c>
    </row>
    <row r="396" spans="1:15">
      <c r="A396" s="9" t="s">
        <v>399</v>
      </c>
      <c r="B396">
        <f>B395*(1+$CD$2)*(1+每日報酬率!B396)</f>
        <v>0</v>
      </c>
      <c r="C396">
        <f>C395*(1+$CD$2)*(1+每日報酬率!C396)</f>
        <v>0.15933845462443436</v>
      </c>
      <c r="D396">
        <f>D395*(1+$CD$2)*(1+每日報酬率!D396)</f>
        <v>1.6639206988817101</v>
      </c>
      <c r="E396">
        <f>E395*(1+$CD$2)*(1+每日報酬率!E396)</f>
        <v>0.11860400230932422</v>
      </c>
      <c r="F396">
        <f t="shared" si="12"/>
        <v>1.9418631558154686</v>
      </c>
      <c r="K396" s="3">
        <f>IFERROR(G397/每日收盤價!B396,0)</f>
        <v>0</v>
      </c>
      <c r="L396" s="3">
        <f>IFERROR(H397/每日收盤價!C396,0)</f>
        <v>0</v>
      </c>
      <c r="M396" s="3">
        <f>IFERROR(I397/每日收盤價!D396,0)</f>
        <v>0</v>
      </c>
      <c r="N396" s="3">
        <f>IFERROR(J397/每日收盤價!E396,0)</f>
        <v>0</v>
      </c>
      <c r="O396">
        <f t="shared" si="13"/>
        <v>0</v>
      </c>
    </row>
    <row r="397" spans="1:15">
      <c r="A397" s="9" t="s">
        <v>400</v>
      </c>
      <c r="B397">
        <f>B396*(1+$CD$2)*(1+每日報酬率!B397)</f>
        <v>0</v>
      </c>
      <c r="C397">
        <f>C396*(1+$CD$2)*(1+每日報酬率!C397)</f>
        <v>0.15663124787110658</v>
      </c>
      <c r="D397">
        <f>D396*(1+$CD$2)*(1+每日報酬率!D397)</f>
        <v>1.6422173854180355</v>
      </c>
      <c r="E397">
        <f>E396*(1+$CD$2)*(1+每日報酬率!E397)</f>
        <v>0.11860400230932422</v>
      </c>
      <c r="F397">
        <f t="shared" si="12"/>
        <v>1.9174526355984662</v>
      </c>
      <c r="K397" s="3">
        <f>IFERROR(G398/每日收盤價!B397,0)</f>
        <v>0</v>
      </c>
      <c r="L397" s="3">
        <f>IFERROR(H398/每日收盤價!C397,0)</f>
        <v>0</v>
      </c>
      <c r="M397" s="3">
        <f>IFERROR(I398/每日收盤價!D397,0)</f>
        <v>0</v>
      </c>
      <c r="N397" s="3">
        <f>IFERROR(J398/每日收盤價!E397,0)</f>
        <v>0</v>
      </c>
      <c r="O397">
        <f t="shared" si="13"/>
        <v>0</v>
      </c>
    </row>
    <row r="398" spans="1:15">
      <c r="A398" s="9" t="s">
        <v>401</v>
      </c>
      <c r="B398">
        <f>B397*(1+$CD$2)*(1+每日報酬率!B398)</f>
        <v>0</v>
      </c>
      <c r="C398">
        <f>C397*(1+$CD$2)*(1+每日報酬率!C398)</f>
        <v>0.16049868609014625</v>
      </c>
      <c r="D398">
        <f>D397*(1+$CD$2)*(1+每日報酬率!D398)</f>
        <v>1.6928584501666093</v>
      </c>
      <c r="E398">
        <f>E397*(1+$CD$2)*(1+每日報酬率!E398)</f>
        <v>0.12251402436347777</v>
      </c>
      <c r="F398">
        <f t="shared" si="12"/>
        <v>1.9758711606202333</v>
      </c>
      <c r="K398" s="3">
        <f>IFERROR(G399/每日收盤價!B398,0)</f>
        <v>0</v>
      </c>
      <c r="L398" s="3">
        <f>IFERROR(H399/每日收盤價!C398,0)</f>
        <v>0</v>
      </c>
      <c r="M398" s="3">
        <f>IFERROR(I399/每日收盤價!D398,0)</f>
        <v>0</v>
      </c>
      <c r="N398" s="3">
        <f>IFERROR(J399/每日收盤價!E398,0)</f>
        <v>0</v>
      </c>
      <c r="O398">
        <f t="shared" si="13"/>
        <v>0</v>
      </c>
    </row>
    <row r="399" spans="1:15">
      <c r="A399" s="9" t="s">
        <v>402</v>
      </c>
      <c r="B399">
        <f>B398*(1+$CD$2)*(1+每日報酬率!B399)</f>
        <v>0</v>
      </c>
      <c r="C399">
        <f>C398*(1+$CD$2)*(1+每日報酬率!C399)</f>
        <v>0.16165891755585815</v>
      </c>
      <c r="D399">
        <f>D398*(1+$CD$2)*(1+每日報酬率!D399)</f>
        <v>1.7000928879878341</v>
      </c>
      <c r="E399">
        <f>E398*(1+$CD$2)*(1+每日報酬率!E399)</f>
        <v>0.12164513057366587</v>
      </c>
      <c r="F399">
        <f t="shared" si="12"/>
        <v>1.983396936117358</v>
      </c>
      <c r="K399" s="3">
        <f>IFERROR(G400/每日收盤價!B399,0)</f>
        <v>0</v>
      </c>
      <c r="L399" s="3">
        <f>IFERROR(H400/每日收盤價!C399,0)</f>
        <v>0</v>
      </c>
      <c r="M399" s="3">
        <f>IFERROR(I400/每日收盤價!D399,0)</f>
        <v>0</v>
      </c>
      <c r="N399" s="3">
        <f>IFERROR(J400/每日收盤價!E399,0)</f>
        <v>0</v>
      </c>
      <c r="O399">
        <f t="shared" si="13"/>
        <v>0</v>
      </c>
    </row>
    <row r="400" spans="1:15">
      <c r="A400" s="9" t="s">
        <v>403</v>
      </c>
      <c r="B400">
        <f>B399*(1+$CD$2)*(1+每日報酬率!B400)</f>
        <v>0</v>
      </c>
      <c r="C400">
        <f>C399*(1+$CD$2)*(1+每日報酬率!C400)</f>
        <v>0.16088542991205021</v>
      </c>
      <c r="D400">
        <f>D399*(1+$CD$2)*(1+每日報酬率!D400)</f>
        <v>1.7217962014515085</v>
      </c>
      <c r="E400">
        <f>E399*(1+$CD$2)*(1+每日報酬率!E400)</f>
        <v>0.12164513057366587</v>
      </c>
      <c r="F400">
        <f t="shared" si="12"/>
        <v>2.0043267619372243</v>
      </c>
      <c r="K400" s="3">
        <f>IFERROR(G401/每日收盤價!B400,0)</f>
        <v>0</v>
      </c>
      <c r="L400" s="3">
        <f>IFERROR(H401/每日收盤價!C400,0)</f>
        <v>0</v>
      </c>
      <c r="M400" s="3">
        <f>IFERROR(I401/每日收盤價!D400,0)</f>
        <v>0</v>
      </c>
      <c r="N400" s="3">
        <f>IFERROR(J401/每日收盤價!E400,0)</f>
        <v>0</v>
      </c>
      <c r="O400">
        <f t="shared" si="13"/>
        <v>0</v>
      </c>
    </row>
    <row r="401" spans="1:15">
      <c r="A401" s="9" t="s">
        <v>404</v>
      </c>
      <c r="B401">
        <f>B400*(1+$CD$2)*(1+每日報酬率!B401)</f>
        <v>0</v>
      </c>
      <c r="C401">
        <f>C400*(1+$CD$2)*(1+每日報酬率!C401)</f>
        <v>0.15933845462443436</v>
      </c>
      <c r="D401">
        <f>D400*(1+$CD$2)*(1+每日報酬率!D401)</f>
        <v>1.6783895745241595</v>
      </c>
      <c r="E401">
        <f>E400*(1+$CD$2)*(1+每日報酬率!E401)</f>
        <v>0.12034178988894803</v>
      </c>
      <c r="F401">
        <f t="shared" si="12"/>
        <v>1.9580698190375418</v>
      </c>
      <c r="K401" s="3">
        <f>IFERROR(G402/每日收盤價!B401,0)</f>
        <v>0</v>
      </c>
      <c r="L401" s="3">
        <f>IFERROR(H402/每日收盤價!C401,0)</f>
        <v>0</v>
      </c>
      <c r="M401" s="3">
        <f>IFERROR(I402/每日收盤價!D401,0)</f>
        <v>0</v>
      </c>
      <c r="N401" s="3">
        <f>IFERROR(J402/每日收盤價!E401,0)</f>
        <v>0</v>
      </c>
      <c r="O401">
        <f t="shared" si="13"/>
        <v>0</v>
      </c>
    </row>
    <row r="402" spans="1:15">
      <c r="A402" s="9" t="s">
        <v>405</v>
      </c>
      <c r="B402">
        <f>B401*(1+$CD$2)*(1+每日報酬率!B402)</f>
        <v>0</v>
      </c>
      <c r="C402">
        <f>C401*(1+$CD$2)*(1+每日報酬率!C402)</f>
        <v>0.15740473551491452</v>
      </c>
      <c r="D402">
        <f>D401*(1+$CD$2)*(1+每日報酬率!D402)</f>
        <v>1.6783895745241595</v>
      </c>
      <c r="E402">
        <f>E401*(1+$CD$2)*(1+每日報酬率!E402)</f>
        <v>0.11903844920423018</v>
      </c>
      <c r="F402">
        <f t="shared" si="12"/>
        <v>1.9548327592433041</v>
      </c>
      <c r="K402" s="3">
        <f>IFERROR(G403/每日收盤價!B402,0)</f>
        <v>0</v>
      </c>
      <c r="L402" s="3">
        <f>IFERROR(H403/每日收盤價!C402,0)</f>
        <v>0</v>
      </c>
      <c r="M402" s="3">
        <f>IFERROR(I403/每日收盤價!D402,0)</f>
        <v>0</v>
      </c>
      <c r="N402" s="3">
        <f>IFERROR(J403/每日收盤價!E402,0)</f>
        <v>0</v>
      </c>
      <c r="O402">
        <f t="shared" si="13"/>
        <v>0</v>
      </c>
    </row>
    <row r="403" spans="1:15">
      <c r="A403" s="9" t="s">
        <v>406</v>
      </c>
      <c r="B403">
        <f>B402*(1+$CD$2)*(1+每日報酬率!B403)</f>
        <v>0</v>
      </c>
      <c r="C403">
        <f>C402*(1+$CD$2)*(1+每日報酬率!C403)</f>
        <v>0.15353729729587484</v>
      </c>
      <c r="D403">
        <f>D402*(1+$CD$2)*(1+每日報酬率!D403)</f>
        <v>1.6856240123453845</v>
      </c>
      <c r="E403">
        <f>E402*(1+$CD$2)*(1+每日報酬率!E403)</f>
        <v>0.11816955541441829</v>
      </c>
      <c r="F403">
        <f t="shared" si="12"/>
        <v>1.9573308650556775</v>
      </c>
      <c r="K403" s="3">
        <f>IFERROR(G404/每日收盤價!B403,0)</f>
        <v>0</v>
      </c>
      <c r="L403" s="3">
        <f>IFERROR(H404/每日收盤價!C403,0)</f>
        <v>0</v>
      </c>
      <c r="M403" s="3">
        <f>IFERROR(I404/每日收盤價!D403,0)</f>
        <v>0</v>
      </c>
      <c r="N403" s="3">
        <f>IFERROR(J404/每日收盤價!E403,0)</f>
        <v>0</v>
      </c>
      <c r="O403">
        <f t="shared" si="13"/>
        <v>0</v>
      </c>
    </row>
    <row r="404" spans="1:15">
      <c r="A404" s="9" t="s">
        <v>407</v>
      </c>
      <c r="B404">
        <f>B403*(1+$CD$2)*(1+每日報酬率!B404)</f>
        <v>0</v>
      </c>
      <c r="C404">
        <f>C403*(1+$CD$2)*(1+每日報酬率!C404)</f>
        <v>0.15353729729587484</v>
      </c>
      <c r="D404">
        <f>D403*(1+$CD$2)*(1+每日報酬率!D404)</f>
        <v>1.6783895745241597</v>
      </c>
      <c r="E404">
        <f>E403*(1+$CD$2)*(1+每日報酬率!E404)</f>
        <v>0.11816955541441829</v>
      </c>
      <c r="F404">
        <f t="shared" si="12"/>
        <v>1.9500964272344528</v>
      </c>
      <c r="K404" s="3">
        <f>IFERROR(G405/每日收盤價!B404,0)</f>
        <v>0</v>
      </c>
      <c r="L404" s="3">
        <f>IFERROR(H405/每日收盤價!C404,0)</f>
        <v>0</v>
      </c>
      <c r="M404" s="3">
        <f>IFERROR(I405/每日收盤價!D404,0)</f>
        <v>0</v>
      </c>
      <c r="N404" s="3">
        <f>IFERROR(J405/每日收盤價!E404,0)</f>
        <v>0</v>
      </c>
      <c r="O404">
        <f t="shared" si="13"/>
        <v>0</v>
      </c>
    </row>
    <row r="405" spans="1:15">
      <c r="A405" s="9" t="s">
        <v>408</v>
      </c>
      <c r="B405">
        <f>B404*(1+$CD$2)*(1+每日報酬率!B405)</f>
        <v>0</v>
      </c>
      <c r="C405">
        <f>C404*(1+$CD$2)*(1+每日報酬率!C405)</f>
        <v>0.15508427258349072</v>
      </c>
      <c r="D405">
        <f>D404*(1+$CD$2)*(1+每日報酬率!D405)</f>
        <v>1.6783895745241597</v>
      </c>
      <c r="E405">
        <f>E404*(1+$CD$2)*(1+每日報酬率!E405)</f>
        <v>0.12121068367875992</v>
      </c>
      <c r="F405">
        <f t="shared" si="12"/>
        <v>1.9546845307864102</v>
      </c>
      <c r="K405" s="3">
        <f>IFERROR(G406/每日收盤價!B405,0)</f>
        <v>0</v>
      </c>
      <c r="L405" s="3">
        <f>IFERROR(H406/每日收盤價!C405,0)</f>
        <v>0</v>
      </c>
      <c r="M405" s="3">
        <f>IFERROR(I406/每日收盤價!D405,0)</f>
        <v>0</v>
      </c>
      <c r="N405" s="3">
        <f>IFERROR(J406/每日收盤價!E405,0)</f>
        <v>0</v>
      </c>
      <c r="O405">
        <f t="shared" si="13"/>
        <v>0</v>
      </c>
    </row>
    <row r="406" spans="1:15">
      <c r="A406" s="9" t="s">
        <v>409</v>
      </c>
      <c r="B406">
        <f>B405*(1+$CD$2)*(1+每日報酬率!B406)</f>
        <v>0</v>
      </c>
      <c r="C406">
        <f>C405*(1+$CD$2)*(1+每日報酬率!C406)</f>
        <v>0.15701799169301056</v>
      </c>
      <c r="D406">
        <f>D405*(1+$CD$2)*(1+每日報酬率!D406)</f>
        <v>1.6783895745241597</v>
      </c>
      <c r="E406">
        <f>E405*(1+$CD$2)*(1+每日報酬率!E406)</f>
        <v>0.12034178988894803</v>
      </c>
      <c r="F406">
        <f t="shared" si="12"/>
        <v>1.9557493561061183</v>
      </c>
      <c r="K406" s="3">
        <f>IFERROR(G407/每日收盤價!B406,0)</f>
        <v>0</v>
      </c>
      <c r="L406" s="3">
        <f>IFERROR(H407/每日收盤價!C406,0)</f>
        <v>0</v>
      </c>
      <c r="M406" s="3">
        <f>IFERROR(I407/每日收盤價!D406,0)</f>
        <v>0</v>
      </c>
      <c r="N406" s="3">
        <f>IFERROR(J407/每日收盤價!E406,0)</f>
        <v>0</v>
      </c>
      <c r="O406">
        <f t="shared" si="13"/>
        <v>0</v>
      </c>
    </row>
    <row r="407" spans="1:15">
      <c r="A407" s="9" t="s">
        <v>410</v>
      </c>
      <c r="B407">
        <f>B406*(1+$CD$2)*(1+每日報酬率!B407)</f>
        <v>0</v>
      </c>
      <c r="C407">
        <f>C406*(1+$CD$2)*(1+每日報酬率!C407)</f>
        <v>0.15856496698062642</v>
      </c>
      <c r="D407">
        <f>D406*(1+$CD$2)*(1+每日報酬率!D407)</f>
        <v>1.7073273258090589</v>
      </c>
      <c r="E407">
        <f>E406*(1+$CD$2)*(1+每日報酬率!E407)</f>
        <v>0.12468625883800753</v>
      </c>
      <c r="F407">
        <f t="shared" si="12"/>
        <v>1.9905785516276928</v>
      </c>
      <c r="K407" s="3">
        <f>IFERROR(G408/每日收盤價!B407,0)</f>
        <v>0</v>
      </c>
      <c r="L407" s="3">
        <f>IFERROR(H408/每日收盤價!C407,0)</f>
        <v>0</v>
      </c>
      <c r="M407" s="3">
        <f>IFERROR(I408/每日收盤價!D407,0)</f>
        <v>0</v>
      </c>
      <c r="N407" s="3">
        <f>IFERROR(J408/每日收盤價!E407,0)</f>
        <v>0</v>
      </c>
      <c r="O407">
        <f t="shared" si="13"/>
        <v>0</v>
      </c>
    </row>
    <row r="408" spans="1:15">
      <c r="A408" s="9" t="s">
        <v>411</v>
      </c>
      <c r="B408">
        <f>B407*(1+$CD$2)*(1+每日報酬率!B408)</f>
        <v>0</v>
      </c>
      <c r="C408">
        <f>C407*(1+$CD$2)*(1+每日報酬率!C408)</f>
        <v>0.15740473551491452</v>
      </c>
      <c r="D408">
        <f>D407*(1+$CD$2)*(1+每日報酬率!D408)</f>
        <v>1.7073273258090589</v>
      </c>
      <c r="E408">
        <f>E407*(1+$CD$2)*(1+每日報酬率!E408)</f>
        <v>0.12425181194310159</v>
      </c>
      <c r="F408">
        <f t="shared" si="12"/>
        <v>1.988983873267075</v>
      </c>
      <c r="K408" s="3">
        <f>IFERROR(G409/每日收盤價!B408,0)</f>
        <v>0</v>
      </c>
      <c r="L408" s="3">
        <f>IFERROR(H409/每日收盤價!C408,0)</f>
        <v>0</v>
      </c>
      <c r="M408" s="3">
        <f>IFERROR(I409/每日收盤價!D408,0)</f>
        <v>0</v>
      </c>
      <c r="N408" s="3">
        <f>IFERROR(J409/每日收盤價!E408,0)</f>
        <v>0</v>
      </c>
      <c r="O408">
        <f t="shared" si="13"/>
        <v>0</v>
      </c>
    </row>
    <row r="409" spans="1:15">
      <c r="A409" s="9" t="s">
        <v>412</v>
      </c>
      <c r="B409">
        <f>B408*(1+$CD$2)*(1+每日報酬率!B409)</f>
        <v>0</v>
      </c>
      <c r="C409">
        <f>C408*(1+$CD$2)*(1+每日報酬率!C409)</f>
        <v>0.16049868609014625</v>
      </c>
      <c r="D409">
        <f>D408*(1+$CD$2)*(1+每日報酬率!D409)</f>
        <v>1.7362650770939581</v>
      </c>
      <c r="E409">
        <f>E408*(1+$CD$2)*(1+每日報酬率!E409)</f>
        <v>0.13120296226159678</v>
      </c>
      <c r="F409">
        <f t="shared" si="12"/>
        <v>2.027966725445701</v>
      </c>
      <c r="K409" s="3">
        <f>IFERROR(G410/每日收盤價!B409,0)</f>
        <v>0</v>
      </c>
      <c r="L409" s="3">
        <f>IFERROR(H410/每日收盤價!C409,0)</f>
        <v>0</v>
      </c>
      <c r="M409" s="3">
        <f>IFERROR(I410/每日收盤價!D409,0)</f>
        <v>0</v>
      </c>
      <c r="N409" s="3">
        <f>IFERROR(J410/每日收盤價!E409,0)</f>
        <v>0</v>
      </c>
      <c r="O409">
        <f t="shared" si="13"/>
        <v>0</v>
      </c>
    </row>
    <row r="410" spans="1:15">
      <c r="A410" s="9" t="s">
        <v>413</v>
      </c>
      <c r="B410">
        <f>B409*(1+$CD$2)*(1+每日報酬率!B410)</f>
        <v>0</v>
      </c>
      <c r="C410">
        <f>C409*(1+$CD$2)*(1+每日報酬率!C410)</f>
        <v>0.16243240519966606</v>
      </c>
      <c r="D410">
        <f>D409*(1+$CD$2)*(1+每日報酬率!D410)</f>
        <v>1.772437266200082</v>
      </c>
      <c r="E410">
        <f>E409*(1+$CD$2)*(1+每日報酬率!E410)</f>
        <v>0.12946517468197299</v>
      </c>
      <c r="F410">
        <f t="shared" si="12"/>
        <v>2.0643348460817212</v>
      </c>
      <c r="K410" s="3">
        <f>IFERROR(G411/每日收盤價!B410,0)</f>
        <v>0</v>
      </c>
      <c r="L410" s="3">
        <f>IFERROR(H411/每日收盤價!C410,0)</f>
        <v>0</v>
      </c>
      <c r="M410" s="3">
        <f>IFERROR(I411/每日收盤價!D410,0)</f>
        <v>0</v>
      </c>
      <c r="N410" s="3">
        <f>IFERROR(J411/每日收盤價!E410,0)</f>
        <v>0</v>
      </c>
      <c r="O410">
        <f t="shared" si="13"/>
        <v>0</v>
      </c>
    </row>
    <row r="411" spans="1:15">
      <c r="A411" s="9" t="s">
        <v>414</v>
      </c>
      <c r="B411">
        <f>B410*(1+$CD$2)*(1+每日報酬率!B411)</f>
        <v>0</v>
      </c>
      <c r="C411">
        <f>C410*(1+$CD$2)*(1+每日報酬率!C411)</f>
        <v>0.16591309959680176</v>
      </c>
      <c r="D411">
        <f>D410*(1+$CD$2)*(1+每日報酬率!D411)</f>
        <v>1.7941405796637564</v>
      </c>
      <c r="E411">
        <f>E410*(1+$CD$2)*(1+每日報酬率!E411)</f>
        <v>0.1285962808921611</v>
      </c>
      <c r="F411">
        <f t="shared" si="12"/>
        <v>2.0886499601527193</v>
      </c>
      <c r="K411" s="3">
        <f>IFERROR(G412/每日收盤價!B411,0)</f>
        <v>0</v>
      </c>
      <c r="L411" s="3">
        <f>IFERROR(H412/每日收盤價!C411,0)</f>
        <v>0</v>
      </c>
      <c r="M411" s="3">
        <f>IFERROR(I412/每日收盤價!D411,0)</f>
        <v>0</v>
      </c>
      <c r="N411" s="3">
        <f>IFERROR(J412/每日收盤價!E411,0)</f>
        <v>0</v>
      </c>
      <c r="O411">
        <f t="shared" si="13"/>
        <v>0</v>
      </c>
    </row>
    <row r="412" spans="1:15">
      <c r="A412" s="9" t="s">
        <v>415</v>
      </c>
      <c r="B412">
        <f>B411*(1+$CD$2)*(1+每日報酬率!B412)</f>
        <v>0</v>
      </c>
      <c r="C412">
        <f>C411*(1+$CD$2)*(1+每日報酬率!C412)</f>
        <v>0.16823356252822555</v>
      </c>
      <c r="D412">
        <f>D411*(1+$CD$2)*(1+每日報酬率!D412)</f>
        <v>1.8230783309486556</v>
      </c>
      <c r="E412">
        <f>E411*(1+$CD$2)*(1+每日報酬率!E412)</f>
        <v>0.12903072778706703</v>
      </c>
      <c r="F412">
        <f t="shared" si="12"/>
        <v>2.1203426212639482</v>
      </c>
      <c r="K412" s="3">
        <f>IFERROR(G413/每日收盤價!B412,0)</f>
        <v>0</v>
      </c>
      <c r="L412" s="3">
        <f>IFERROR(H413/每日收盤價!C412,0)</f>
        <v>0</v>
      </c>
      <c r="M412" s="3">
        <f>IFERROR(I413/每日收盤價!D412,0)</f>
        <v>0</v>
      </c>
      <c r="N412" s="3">
        <f>IFERROR(J413/每日收盤價!E412,0)</f>
        <v>0</v>
      </c>
      <c r="O412">
        <f t="shared" si="13"/>
        <v>0</v>
      </c>
    </row>
    <row r="413" spans="1:15">
      <c r="A413" s="9" t="s">
        <v>416</v>
      </c>
      <c r="B413">
        <f>B412*(1+$CD$2)*(1+每日報酬率!B413)</f>
        <v>0</v>
      </c>
      <c r="C413">
        <f>C412*(1+$CD$2)*(1+每日報酬率!C413)</f>
        <v>0.16707333106251365</v>
      </c>
      <c r="D413">
        <f>D412*(1+$CD$2)*(1+每日報酬率!D413)</f>
        <v>1.8158438931274308</v>
      </c>
      <c r="E413">
        <f>E412*(1+$CD$2)*(1+每日報酬率!E413)</f>
        <v>0.12903072778706703</v>
      </c>
      <c r="F413">
        <f t="shared" si="12"/>
        <v>2.1119479519770117</v>
      </c>
      <c r="K413" s="3">
        <f>IFERROR(G414/每日收盤價!B413,0)</f>
        <v>0</v>
      </c>
      <c r="L413" s="3">
        <f>IFERROR(H414/每日收盤價!C413,0)</f>
        <v>0</v>
      </c>
      <c r="M413" s="3">
        <f>IFERROR(I414/每日收盤價!D413,0)</f>
        <v>3.9840777211155379E-3</v>
      </c>
      <c r="N413" s="3">
        <f>IFERROR(J414/每日收盤價!E413,0)</f>
        <v>0</v>
      </c>
      <c r="O413">
        <f t="shared" si="13"/>
        <v>3.9840777211155379E-3</v>
      </c>
    </row>
    <row r="414" spans="1:15">
      <c r="A414" s="9" t="s">
        <v>417</v>
      </c>
      <c r="B414">
        <f>B413*(1+$CD$2)*(1+每日報酬率!B414)</f>
        <v>0</v>
      </c>
      <c r="C414">
        <f>C413*(1+$CD$2)*(1+每日報酬率!C414)</f>
        <v>0.1666865872406097</v>
      </c>
      <c r="D414">
        <f>D413*(1+$CD$2)*(1+每日報酬率!D414)</f>
        <v>1.852016082233555</v>
      </c>
      <c r="E414">
        <f>E413*(1+$CD$2)*(1+每日報酬率!E414)</f>
        <v>0.13337519673612655</v>
      </c>
      <c r="F414">
        <f t="shared" si="12"/>
        <v>2.1520778662102913</v>
      </c>
      <c r="I414" s="3">
        <v>5.00001754</v>
      </c>
      <c r="K414" s="3">
        <f>IFERROR(G415/每日收盤價!B414,0)</f>
        <v>0</v>
      </c>
      <c r="L414" s="3">
        <f>IFERROR(H415/每日收盤價!C414,0)</f>
        <v>0</v>
      </c>
      <c r="M414" s="3">
        <f>IFERROR(I415/每日收盤價!D414,0)</f>
        <v>0</v>
      </c>
      <c r="N414" s="3">
        <f>IFERROR(J415/每日收盤價!E414,0)</f>
        <v>0</v>
      </c>
      <c r="O414">
        <f t="shared" si="13"/>
        <v>0</v>
      </c>
    </row>
    <row r="415" spans="1:15">
      <c r="A415" s="9" t="s">
        <v>418</v>
      </c>
      <c r="B415">
        <f>B414*(1+$CD$2)*(1+每日報酬率!B415)</f>
        <v>0</v>
      </c>
      <c r="C415">
        <f>C414*(1+$CD$2)*(1+每日報酬率!C415)</f>
        <v>0.16397938048728192</v>
      </c>
      <c r="D415">
        <f>D414*(1+$CD$2)*(1+每日報酬率!D415)</f>
        <v>1.8303127687698806</v>
      </c>
      <c r="E415">
        <f>E414*(1+$CD$2)*(1+每日報酬率!E415)</f>
        <v>0.13120296226159681</v>
      </c>
      <c r="F415">
        <f t="shared" si="12"/>
        <v>2.1254951115187595</v>
      </c>
      <c r="K415" s="3">
        <f>IFERROR(G416/每日收盤價!B415,0)</f>
        <v>0</v>
      </c>
      <c r="L415" s="3">
        <f>IFERROR(H416/每日收盤價!C415,0)</f>
        <v>0</v>
      </c>
      <c r="M415" s="3">
        <f>IFERROR(I416/每日收盤價!D415,0)</f>
        <v>0</v>
      </c>
      <c r="N415" s="3">
        <f>IFERROR(J416/每日收盤價!E415,0)</f>
        <v>0</v>
      </c>
      <c r="O415">
        <f t="shared" si="13"/>
        <v>0</v>
      </c>
    </row>
    <row r="416" spans="1:15">
      <c r="A416" s="9" t="s">
        <v>419</v>
      </c>
      <c r="B416">
        <f>B415*(1+$CD$2)*(1+每日報酬率!B416)</f>
        <v>0</v>
      </c>
      <c r="C416">
        <f>C415*(1+$CD$2)*(1+每日報酬率!C416)</f>
        <v>0.16629984341870571</v>
      </c>
      <c r="D416">
        <f>D415*(1+$CD$2)*(1+每日報酬率!D416)</f>
        <v>1.8592505200547798</v>
      </c>
      <c r="E416">
        <f>E415*(1+$CD$2)*(1+每日報酬率!E416)</f>
        <v>0.13120296226159681</v>
      </c>
      <c r="F416">
        <f t="shared" si="12"/>
        <v>2.1567533257350822</v>
      </c>
      <c r="K416" s="3">
        <f>IFERROR(G417/每日收盤價!B416,0)</f>
        <v>0</v>
      </c>
      <c r="L416" s="3">
        <f>IFERROR(H417/每日收盤價!C416,0)</f>
        <v>0</v>
      </c>
      <c r="M416" s="3">
        <f>IFERROR(I417/每日收盤價!D416,0)</f>
        <v>0</v>
      </c>
      <c r="N416" s="3">
        <f>IFERROR(J417/每日收盤價!E416,0)</f>
        <v>0</v>
      </c>
      <c r="O416">
        <f t="shared" si="13"/>
        <v>0</v>
      </c>
    </row>
    <row r="417" spans="1:15">
      <c r="A417" s="9" t="s">
        <v>420</v>
      </c>
      <c r="B417">
        <f>B416*(1+$CD$2)*(1+每日報酬率!B417)</f>
        <v>0</v>
      </c>
      <c r="C417">
        <f>C416*(1+$CD$2)*(1+每日報酬率!C417)</f>
        <v>0.16552635577489777</v>
      </c>
      <c r="D417">
        <f>D416*(1+$CD$2)*(1+每日報酬率!D417)</f>
        <v>1.8303127687698806</v>
      </c>
      <c r="E417">
        <f>E416*(1+$CD$2)*(1+每日報酬率!E417)</f>
        <v>0.12512070573291351</v>
      </c>
      <c r="F417">
        <f t="shared" si="12"/>
        <v>2.120959830277692</v>
      </c>
      <c r="K417" s="3">
        <f>IFERROR(G418/每日收盤價!B417,0)</f>
        <v>0</v>
      </c>
      <c r="L417" s="3">
        <f>IFERROR(H418/每日收盤價!C417,0)</f>
        <v>0</v>
      </c>
      <c r="M417" s="3">
        <f>IFERROR(I418/每日收盤價!D417,0)</f>
        <v>0</v>
      </c>
      <c r="N417" s="3">
        <f>IFERROR(J418/每日收盤價!E417,0)</f>
        <v>0</v>
      </c>
      <c r="O417">
        <f t="shared" si="13"/>
        <v>0</v>
      </c>
    </row>
    <row r="418" spans="1:15">
      <c r="A418" s="9" t="s">
        <v>421</v>
      </c>
      <c r="B418">
        <f>B417*(1+$CD$2)*(1+每日報酬率!B418)</f>
        <v>0</v>
      </c>
      <c r="C418">
        <f>C417*(1+$CD$2)*(1+每日報酬率!C418)</f>
        <v>0.16707333106251362</v>
      </c>
      <c r="D418">
        <f>D417*(1+$CD$2)*(1+每日報酬率!D418)</f>
        <v>1.8737193956972298</v>
      </c>
      <c r="E418">
        <f>E417*(1+$CD$2)*(1+每日報酬率!E418)</f>
        <v>0.12207957746857186</v>
      </c>
      <c r="F418">
        <f t="shared" si="12"/>
        <v>2.1628723042283151</v>
      </c>
      <c r="K418" s="3">
        <f>IFERROR(G419/每日收盤價!B418,0)</f>
        <v>0</v>
      </c>
      <c r="L418" s="3">
        <f>IFERROR(H419/每日收盤價!C418,0)</f>
        <v>0</v>
      </c>
      <c r="M418" s="3">
        <f>IFERROR(I419/每日收盤價!D418,0)</f>
        <v>0</v>
      </c>
      <c r="N418" s="3">
        <f>IFERROR(J419/每日收盤價!E418,0)</f>
        <v>0</v>
      </c>
      <c r="O418">
        <f t="shared" si="13"/>
        <v>0</v>
      </c>
    </row>
    <row r="419" spans="1:15">
      <c r="A419" s="9" t="s">
        <v>422</v>
      </c>
      <c r="B419">
        <f>B418*(1+$CD$2)*(1+每日報酬率!B419)</f>
        <v>0</v>
      </c>
      <c r="C419">
        <f>C418*(1+$CD$2)*(1+每日報酬率!C419)</f>
        <v>0.1709407692815533</v>
      </c>
      <c r="D419">
        <f>D418*(1+$CD$2)*(1+每日報酬率!D419)</f>
        <v>1.9388293360882531</v>
      </c>
      <c r="E419">
        <f>E418*(1+$CD$2)*(1+每日報酬率!E419)</f>
        <v>0.11947289609913615</v>
      </c>
      <c r="F419">
        <f t="shared" si="12"/>
        <v>2.2292430014689426</v>
      </c>
      <c r="K419" s="3">
        <f>IFERROR(G420/每日收盤價!B419,0)</f>
        <v>0</v>
      </c>
      <c r="L419" s="3">
        <f>IFERROR(H420/每日收盤價!C419,0)</f>
        <v>0</v>
      </c>
      <c r="M419" s="3">
        <f>IFERROR(I420/每日收盤價!D419,0)</f>
        <v>0</v>
      </c>
      <c r="N419" s="3">
        <f>IFERROR(J420/每日收盤價!E419,0)</f>
        <v>0</v>
      </c>
      <c r="O419">
        <f t="shared" si="13"/>
        <v>0</v>
      </c>
    </row>
    <row r="420" spans="1:15">
      <c r="A420" s="9" t="s">
        <v>423</v>
      </c>
      <c r="B420">
        <f>B419*(1+$CD$2)*(1+每日報酬率!B420)</f>
        <v>0</v>
      </c>
      <c r="C420">
        <f>C419*(1+$CD$2)*(1+每日報酬率!C420)</f>
        <v>0.17248774456916915</v>
      </c>
      <c r="D420">
        <f>D419*(1+$CD$2)*(1+每日報酬率!D420)</f>
        <v>1.9388293360882531</v>
      </c>
      <c r="E420">
        <f>E419*(1+$CD$2)*(1+每日報酬率!E420)</f>
        <v>0.11556287404498261</v>
      </c>
      <c r="F420">
        <f t="shared" si="12"/>
        <v>2.226879954702405</v>
      </c>
      <c r="K420" s="3">
        <f>IFERROR(G421/每日收盤價!B420,0)</f>
        <v>0</v>
      </c>
      <c r="L420" s="3">
        <f>IFERROR(H421/每日收盤價!C420,0)</f>
        <v>0</v>
      </c>
      <c r="M420" s="3">
        <f>IFERROR(I421/每日收盤價!D420,0)</f>
        <v>0</v>
      </c>
      <c r="N420" s="3">
        <f>IFERROR(J421/每日收盤價!E420,0)</f>
        <v>0</v>
      </c>
      <c r="O420">
        <f t="shared" si="13"/>
        <v>0</v>
      </c>
    </row>
    <row r="421" spans="1:15">
      <c r="A421" s="9" t="s">
        <v>424</v>
      </c>
      <c r="B421">
        <f>B420*(1+$CD$2)*(1+每日報酬率!B421)</f>
        <v>0</v>
      </c>
      <c r="C421">
        <f>C420*(1+$CD$2)*(1+每日報酬率!C421)</f>
        <v>0.17790215807582471</v>
      </c>
      <c r="D421">
        <f>D420*(1+$CD$2)*(1+每日報酬率!D421)</f>
        <v>1.9098915848033537</v>
      </c>
      <c r="E421">
        <f>E420*(1+$CD$2)*(1+每日報酬率!E421)</f>
        <v>0.11686621472970046</v>
      </c>
      <c r="F421">
        <f t="shared" si="12"/>
        <v>2.2046599576088792</v>
      </c>
      <c r="K421" s="3">
        <f>IFERROR(G422/每日收盤價!B421,0)</f>
        <v>0</v>
      </c>
      <c r="L421" s="3">
        <f>IFERROR(H422/每日收盤價!C421,0)</f>
        <v>0</v>
      </c>
      <c r="M421" s="3">
        <f>IFERROR(I422/每日收盤價!D421,0)</f>
        <v>0</v>
      </c>
      <c r="N421" s="3">
        <f>IFERROR(J422/每日收盤價!E421,0)</f>
        <v>0</v>
      </c>
      <c r="O421">
        <f t="shared" si="13"/>
        <v>0</v>
      </c>
    </row>
    <row r="422" spans="1:15">
      <c r="A422" s="9" t="s">
        <v>425</v>
      </c>
      <c r="B422">
        <f>B421*(1+$CD$2)*(1+每日報酬率!B422)</f>
        <v>0</v>
      </c>
      <c r="C422">
        <f>C421*(1+$CD$2)*(1+每日報酬率!C422)</f>
        <v>0.16978053781584143</v>
      </c>
      <c r="D422">
        <f>D421*(1+$CD$2)*(1+每日報酬率!D422)</f>
        <v>1.8809538335184546</v>
      </c>
      <c r="E422">
        <f>E421*(1+$CD$2)*(1+每日報酬率!E422)</f>
        <v>0.11382508646535881</v>
      </c>
      <c r="F422">
        <f t="shared" si="12"/>
        <v>2.1645594577996548</v>
      </c>
      <c r="K422" s="3">
        <f>IFERROR(G423/每日收盤價!B422,0)</f>
        <v>0</v>
      </c>
      <c r="L422" s="3">
        <f>IFERROR(H423/每日收盤價!C422,0)</f>
        <v>0</v>
      </c>
      <c r="M422" s="3">
        <f>IFERROR(I423/每日收盤價!D422,0)</f>
        <v>0</v>
      </c>
      <c r="N422" s="3">
        <f>IFERROR(J423/每日收盤價!E422,0)</f>
        <v>0</v>
      </c>
      <c r="O422">
        <f t="shared" si="13"/>
        <v>0</v>
      </c>
    </row>
    <row r="423" spans="1:15">
      <c r="A423" s="9" t="s">
        <v>426</v>
      </c>
      <c r="B423">
        <f>B422*(1+$CD$2)*(1+每日報酬率!B423)</f>
        <v>0</v>
      </c>
      <c r="C423">
        <f>C422*(1+$CD$2)*(1+每日報酬率!C423)</f>
        <v>0.16707333106251365</v>
      </c>
      <c r="D423">
        <f>D422*(1+$CD$2)*(1+每日報酬率!D423)</f>
        <v>1.8881882713396794</v>
      </c>
      <c r="E423">
        <f>E422*(1+$CD$2)*(1+每日報酬率!E423)</f>
        <v>0.11425953336026476</v>
      </c>
      <c r="F423">
        <f t="shared" si="12"/>
        <v>2.1695211357624578</v>
      </c>
      <c r="K423" s="3">
        <f>IFERROR(G424/每日收盤價!B423,0)</f>
        <v>0</v>
      </c>
      <c r="L423" s="3">
        <f>IFERROR(H424/每日收盤價!C423,0)</f>
        <v>0</v>
      </c>
      <c r="M423" s="3">
        <f>IFERROR(I424/每日收盤價!D423,0)</f>
        <v>0</v>
      </c>
      <c r="N423" s="3">
        <f>IFERROR(J424/每日收盤價!E423,0)</f>
        <v>0</v>
      </c>
      <c r="O423">
        <f t="shared" si="13"/>
        <v>0</v>
      </c>
    </row>
    <row r="424" spans="1:15">
      <c r="A424" s="9" t="s">
        <v>427</v>
      </c>
      <c r="B424">
        <f>B423*(1+$CD$2)*(1+每日報酬率!B424)</f>
        <v>0</v>
      </c>
      <c r="C424">
        <f>C423*(1+$CD$2)*(1+每日報酬率!C424)</f>
        <v>0.16939379399393745</v>
      </c>
      <c r="D424">
        <f>D423*(1+$CD$2)*(1+每日報酬率!D424)</f>
        <v>1.9171260226245785</v>
      </c>
      <c r="E424">
        <f>E423*(1+$CD$2)*(1+每日報酬率!E424)</f>
        <v>0.11165285199082907</v>
      </c>
      <c r="F424">
        <f t="shared" si="12"/>
        <v>2.1981726686093448</v>
      </c>
      <c r="K424" s="3">
        <f>IFERROR(G425/每日收盤價!B424,0)</f>
        <v>0</v>
      </c>
      <c r="L424" s="3">
        <f>IFERROR(H425/每日收盤價!C424,0)</f>
        <v>0</v>
      </c>
      <c r="M424" s="3">
        <f>IFERROR(I425/每日收盤價!D424,0)</f>
        <v>0</v>
      </c>
      <c r="N424" s="3">
        <f>IFERROR(J425/每日收盤價!E424,0)</f>
        <v>0</v>
      </c>
      <c r="O424">
        <f t="shared" si="13"/>
        <v>0</v>
      </c>
    </row>
    <row r="425" spans="1:15">
      <c r="A425" s="9" t="s">
        <v>428</v>
      </c>
      <c r="B425">
        <f>B424*(1+$CD$2)*(1+每日報酬率!B425)</f>
        <v>0</v>
      </c>
      <c r="C425">
        <f>C424*(1+$CD$2)*(1+每日報酬率!C425)</f>
        <v>0.17442146367868902</v>
      </c>
      <c r="D425">
        <f>D424*(1+$CD$2)*(1+每日報酬率!D425)</f>
        <v>1.9750015251943771</v>
      </c>
      <c r="E425">
        <f>E424*(1+$CD$2)*(1+每日報酬率!E425)</f>
        <v>0.11121840509592312</v>
      </c>
      <c r="F425">
        <f t="shared" si="12"/>
        <v>2.2606413939689891</v>
      </c>
      <c r="K425" s="3">
        <f>IFERROR(G426/每日收盤價!B425,0)</f>
        <v>0</v>
      </c>
      <c r="L425" s="3">
        <f>IFERROR(H426/每日收盤價!C425,0)</f>
        <v>0</v>
      </c>
      <c r="M425" s="3">
        <f>IFERROR(I426/每日收盤價!D425,0)</f>
        <v>0</v>
      </c>
      <c r="N425" s="3">
        <f>IFERROR(J426/每日收盤價!E425,0)</f>
        <v>0</v>
      </c>
      <c r="O425">
        <f t="shared" si="13"/>
        <v>0</v>
      </c>
    </row>
    <row r="426" spans="1:15">
      <c r="A426" s="9" t="s">
        <v>429</v>
      </c>
      <c r="B426">
        <f>B425*(1+$CD$2)*(1+每日報酬率!B426)</f>
        <v>0</v>
      </c>
      <c r="C426">
        <f>C425*(1+$CD$2)*(1+每日報酬率!C426)</f>
        <v>0.17519495132249696</v>
      </c>
      <c r="D426">
        <f>D425*(1+$CD$2)*(1+每日報酬率!D426)</f>
        <v>2.0256425899429509</v>
      </c>
      <c r="E426">
        <f>E425*(1+$CD$2)*(1+每日報酬率!E426)</f>
        <v>0.11469398025517072</v>
      </c>
      <c r="F426">
        <f t="shared" si="12"/>
        <v>2.3155315215206187</v>
      </c>
      <c r="K426" s="3">
        <f>IFERROR(G427/每日收盤價!B426,0)</f>
        <v>0</v>
      </c>
      <c r="L426" s="3">
        <f>IFERROR(H427/每日收盤價!C426,0)</f>
        <v>0</v>
      </c>
      <c r="M426" s="3">
        <f>IFERROR(I427/每日收盤價!D426,0)</f>
        <v>0</v>
      </c>
      <c r="N426" s="3">
        <f>IFERROR(J427/每日收盤價!E426,0)</f>
        <v>0</v>
      </c>
      <c r="O426">
        <f t="shared" si="13"/>
        <v>0</v>
      </c>
    </row>
    <row r="427" spans="1:15">
      <c r="A427" s="9" t="s">
        <v>430</v>
      </c>
      <c r="B427">
        <f>B426*(1+$CD$2)*(1+每日報酬率!B427)</f>
        <v>0</v>
      </c>
      <c r="C427">
        <f>C426*(1+$CD$2)*(1+每日報酬率!C427)</f>
        <v>0.17674192661011284</v>
      </c>
      <c r="D427">
        <f>D426*(1+$CD$2)*(1+每日報酬率!D427)</f>
        <v>2.0762836546915246</v>
      </c>
      <c r="E427">
        <f>E426*(1+$CD$2)*(1+每日報酬率!E427)</f>
        <v>0.11512842715007668</v>
      </c>
      <c r="F427">
        <f t="shared" si="12"/>
        <v>2.3681540084517141</v>
      </c>
      <c r="K427" s="3">
        <f>IFERROR(G428/每日收盤價!B427,0)</f>
        <v>0</v>
      </c>
      <c r="L427" s="3">
        <f>IFERROR(H428/每日收盤價!C427,0)</f>
        <v>0</v>
      </c>
      <c r="M427" s="3">
        <f>IFERROR(I428/每日收盤價!D427,0)</f>
        <v>0</v>
      </c>
      <c r="N427" s="3">
        <f>IFERROR(J428/每日收盤價!E427,0)</f>
        <v>0</v>
      </c>
      <c r="O427">
        <f t="shared" si="13"/>
        <v>0</v>
      </c>
    </row>
    <row r="428" spans="1:15">
      <c r="A428" s="9" t="s">
        <v>431</v>
      </c>
      <c r="B428">
        <f>B427*(1+$CD$2)*(1+每日報酬率!B428)</f>
        <v>0</v>
      </c>
      <c r="C428">
        <f>C427*(1+$CD$2)*(1+每日報酬率!C428)</f>
        <v>0.17403471985678506</v>
      </c>
      <c r="D428">
        <f>D427*(1+$CD$2)*(1+每日報酬率!D428)</f>
        <v>2.0473459034066255</v>
      </c>
      <c r="E428">
        <f>E427*(1+$CD$2)*(1+每日報酬率!E428)</f>
        <v>0.11512842715007668</v>
      </c>
      <c r="F428">
        <f t="shared" si="12"/>
        <v>2.3365090504134871</v>
      </c>
      <c r="K428" s="3">
        <f>IFERROR(G429/每日收盤價!B428,0)</f>
        <v>0</v>
      </c>
      <c r="L428" s="3">
        <f>IFERROR(H429/每日收盤價!C428,0)</f>
        <v>0</v>
      </c>
      <c r="M428" s="3">
        <f>IFERROR(I429/每日收盤價!D428,0)</f>
        <v>0</v>
      </c>
      <c r="N428" s="3">
        <f>IFERROR(J429/每日收盤價!E428,0)</f>
        <v>0</v>
      </c>
      <c r="O428">
        <f t="shared" si="13"/>
        <v>0</v>
      </c>
    </row>
    <row r="429" spans="1:15">
      <c r="A429" s="9" t="s">
        <v>432</v>
      </c>
      <c r="B429">
        <f>B428*(1+$CD$2)*(1+每日報酬率!B429)</f>
        <v>0</v>
      </c>
      <c r="C429">
        <f>C428*(1+$CD$2)*(1+每日報酬率!C429)</f>
        <v>0.17132751310345729</v>
      </c>
      <c r="D429">
        <f>D428*(1+$CD$2)*(1+每日報酬率!D429)</f>
        <v>2.0835180925127492</v>
      </c>
      <c r="E429">
        <f>E428*(1+$CD$2)*(1+每日報酬率!E429)</f>
        <v>0.11512842715007668</v>
      </c>
      <c r="F429">
        <f t="shared" si="12"/>
        <v>2.369974032766283</v>
      </c>
      <c r="K429" s="3">
        <f>IFERROR(G430/每日收盤價!B429,0)</f>
        <v>0</v>
      </c>
      <c r="L429" s="3">
        <f>IFERROR(H430/每日收盤價!C429,0)</f>
        <v>0</v>
      </c>
      <c r="M429" s="3">
        <f>IFERROR(I430/每日收盤價!D429,0)</f>
        <v>0</v>
      </c>
      <c r="N429" s="3">
        <f>IFERROR(J430/每日收盤價!E429,0)</f>
        <v>0</v>
      </c>
      <c r="O429">
        <f t="shared" si="13"/>
        <v>0</v>
      </c>
    </row>
    <row r="430" spans="1:15">
      <c r="A430" s="9" t="s">
        <v>433</v>
      </c>
      <c r="B430">
        <f>B429*(1+$CD$2)*(1+每日報酬率!B430)</f>
        <v>0</v>
      </c>
      <c r="C430">
        <f>C429*(1+$CD$2)*(1+每日報酬率!C430)</f>
        <v>0.16475286813108986</v>
      </c>
      <c r="D430">
        <f>D429*(1+$CD$2)*(1+每日報酬率!D430)</f>
        <v>2.047345903406625</v>
      </c>
      <c r="E430">
        <f>E429*(1+$CD$2)*(1+每日報酬率!E430)</f>
        <v>0.11512842715007668</v>
      </c>
      <c r="F430">
        <f t="shared" si="12"/>
        <v>2.3272271986877913</v>
      </c>
      <c r="K430" s="3">
        <f>IFERROR(G431/每日收盤價!B430,0)</f>
        <v>0</v>
      </c>
      <c r="L430" s="3">
        <f>IFERROR(H431/每日收盤價!C430,0)</f>
        <v>0</v>
      </c>
      <c r="M430" s="3">
        <f>IFERROR(I431/每日收盤價!D430,0)</f>
        <v>0</v>
      </c>
      <c r="N430" s="3">
        <f>IFERROR(J431/每日收盤價!E430,0)</f>
        <v>0</v>
      </c>
      <c r="O430">
        <f t="shared" si="13"/>
        <v>0</v>
      </c>
    </row>
    <row r="431" spans="1:15">
      <c r="A431" s="9" t="s">
        <v>434</v>
      </c>
      <c r="B431">
        <f>B430*(1+$CD$2)*(1+每日報酬率!B431)</f>
        <v>0</v>
      </c>
      <c r="C431">
        <f>C430*(1+$CD$2)*(1+每日報酬率!C431)</f>
        <v>0.15933845462443433</v>
      </c>
      <c r="D431">
        <f>D430*(1+$CD$2)*(1+每日報酬率!D431)</f>
        <v>2.0618147790490746</v>
      </c>
      <c r="E431">
        <f>E430*(1+$CD$2)*(1+每日報酬率!E431)</f>
        <v>0.11512842715007668</v>
      </c>
      <c r="F431">
        <f t="shared" si="12"/>
        <v>2.3362816608235857</v>
      </c>
      <c r="K431" s="3">
        <f>IFERROR(G432/每日收盤價!B431,0)</f>
        <v>0</v>
      </c>
      <c r="L431" s="3">
        <f>IFERROR(H432/每日收盤價!C431,0)</f>
        <v>0</v>
      </c>
      <c r="M431" s="3">
        <f>IFERROR(I432/每日收盤價!D431,0)</f>
        <v>0</v>
      </c>
      <c r="N431" s="3">
        <f>IFERROR(J432/每日收盤價!E431,0)</f>
        <v>0</v>
      </c>
      <c r="O431">
        <f t="shared" si="13"/>
        <v>0</v>
      </c>
    </row>
    <row r="432" spans="1:15">
      <c r="A432" s="9" t="s">
        <v>435</v>
      </c>
      <c r="B432">
        <f>B431*(1+$CD$2)*(1+每日報酬率!B432)</f>
        <v>0</v>
      </c>
      <c r="C432">
        <f>C431*(1+$CD$2)*(1+每日報酬率!C432)</f>
        <v>0.15972519844633831</v>
      </c>
      <c r="D432">
        <f>D431*(1+$CD$2)*(1+每日報酬率!D432)</f>
        <v>2.1196902816188734</v>
      </c>
      <c r="E432">
        <f>E431*(1+$CD$2)*(1+每日報酬率!E432)</f>
        <v>0.11512842715007668</v>
      </c>
      <c r="F432">
        <f t="shared" si="12"/>
        <v>2.3945439072152883</v>
      </c>
      <c r="K432" s="3">
        <f>IFERROR(G433/每日收盤價!B432,0)</f>
        <v>0</v>
      </c>
      <c r="L432" s="3">
        <f>IFERROR(H433/每日收盤價!C432,0)</f>
        <v>0</v>
      </c>
      <c r="M432" s="3">
        <f>IFERROR(I433/每日收盤價!D432,0)</f>
        <v>0</v>
      </c>
      <c r="N432" s="3">
        <f>IFERROR(J433/每日收盤價!E432,0)</f>
        <v>0</v>
      </c>
      <c r="O432">
        <f t="shared" si="13"/>
        <v>0</v>
      </c>
    </row>
    <row r="433" spans="1:15">
      <c r="A433" s="9" t="s">
        <v>436</v>
      </c>
      <c r="B433">
        <f>B432*(1+$CD$2)*(1+每日報酬率!B433)</f>
        <v>0</v>
      </c>
      <c r="C433">
        <f>C432*(1+$CD$2)*(1+每日報酬率!C433)</f>
        <v>0.17248774456916921</v>
      </c>
      <c r="D433">
        <f>D432*(1+$CD$2)*(1+每日報酬率!D433)</f>
        <v>2.1486280329037726</v>
      </c>
      <c r="E433">
        <f>E432*(1+$CD$2)*(1+每日報酬率!E433)</f>
        <v>0.11512842715007668</v>
      </c>
      <c r="F433">
        <f t="shared" si="12"/>
        <v>2.4362442046230184</v>
      </c>
      <c r="K433" s="3">
        <f>IFERROR(G434/每日收盤價!B433,0)</f>
        <v>0</v>
      </c>
      <c r="L433" s="3">
        <f>IFERROR(H434/每日收盤價!C433,0)</f>
        <v>0</v>
      </c>
      <c r="M433" s="3">
        <f>IFERROR(I434/每日收盤價!D433,0)</f>
        <v>0</v>
      </c>
      <c r="N433" s="3">
        <f>IFERROR(J434/每日收盤價!E433,0)</f>
        <v>0</v>
      </c>
      <c r="O433">
        <f t="shared" si="13"/>
        <v>0</v>
      </c>
    </row>
    <row r="434" spans="1:15">
      <c r="A434" s="9" t="s">
        <v>437</v>
      </c>
      <c r="B434">
        <f>B433*(1+$CD$2)*(1+每日報酬率!B434)</f>
        <v>0</v>
      </c>
      <c r="C434">
        <f>C433*(1+$CD$2)*(1+每日報酬率!C434)</f>
        <v>0.17519495132249696</v>
      </c>
      <c r="D434">
        <f>D433*(1+$CD$2)*(1+每日報酬率!D434)</f>
        <v>2.0979869681551988</v>
      </c>
      <c r="E434">
        <f>E433*(1+$CD$2)*(1+每日報酬率!E434)</f>
        <v>0.11512842715007668</v>
      </c>
      <c r="F434">
        <f t="shared" si="12"/>
        <v>2.3883103466277724</v>
      </c>
      <c r="K434" s="3">
        <f>IFERROR(G435/每日收盤價!B434,0)</f>
        <v>0</v>
      </c>
      <c r="L434" s="3">
        <f>IFERROR(H435/每日收盤價!C434,0)</f>
        <v>0</v>
      </c>
      <c r="M434" s="3">
        <f>IFERROR(I435/每日收盤價!D434,0)</f>
        <v>0</v>
      </c>
      <c r="N434" s="3">
        <f>IFERROR(J435/每日收盤價!E434,0)</f>
        <v>0</v>
      </c>
      <c r="O434">
        <f t="shared" si="13"/>
        <v>0</v>
      </c>
    </row>
    <row r="435" spans="1:15">
      <c r="A435" s="9" t="s">
        <v>438</v>
      </c>
      <c r="B435">
        <f>B434*(1+$CD$2)*(1+每日報酬率!B435)</f>
        <v>0</v>
      </c>
      <c r="C435">
        <f>C434*(1+$CD$2)*(1+每日報酬率!C435)</f>
        <v>0.18447680304819217</v>
      </c>
      <c r="D435">
        <f>D434*(1+$CD$2)*(1+每日報酬率!D435)</f>
        <v>2.141393595082548</v>
      </c>
      <c r="E435">
        <f>E434*(1+$CD$2)*(1+每日報酬率!E435)</f>
        <v>0.11512842715007668</v>
      </c>
      <c r="F435">
        <f t="shared" si="12"/>
        <v>2.4409988252808166</v>
      </c>
      <c r="K435" s="3">
        <f>IFERROR(G436/每日收盤價!B435,0)</f>
        <v>0</v>
      </c>
      <c r="L435" s="3">
        <f>IFERROR(H436/每日收盤價!C435,0)</f>
        <v>0</v>
      </c>
      <c r="M435" s="3">
        <f>IFERROR(I436/每日收盤價!D435,0)</f>
        <v>0</v>
      </c>
      <c r="N435" s="3">
        <f>IFERROR(J436/每日收盤價!E435,0)</f>
        <v>0</v>
      </c>
      <c r="O435">
        <f t="shared" si="13"/>
        <v>0</v>
      </c>
    </row>
    <row r="436" spans="1:15">
      <c r="A436" s="9" t="s">
        <v>439</v>
      </c>
      <c r="B436">
        <f>B435*(1+$CD$2)*(1+每日報酬率!B436)</f>
        <v>0</v>
      </c>
      <c r="C436">
        <f>C435*(1+$CD$2)*(1+每日報酬率!C436)</f>
        <v>0.18486354687009612</v>
      </c>
      <c r="D436">
        <f>D435*(1+$CD$2)*(1+每日報酬率!D436)</f>
        <v>2.141393595082548</v>
      </c>
      <c r="E436">
        <f>E435*(1+$CD$2)*(1+每日報酬率!E436)</f>
        <v>0.11512842715007668</v>
      </c>
      <c r="F436">
        <f t="shared" si="12"/>
        <v>2.4413855691027209</v>
      </c>
      <c r="K436" s="3">
        <f>IFERROR(G437/每日收盤價!B436,0)</f>
        <v>0</v>
      </c>
      <c r="L436" s="3">
        <f>IFERROR(H437/每日收盤價!C436,0)</f>
        <v>0</v>
      </c>
      <c r="M436" s="3">
        <f>IFERROR(I437/每日收盤價!D436,0)</f>
        <v>0</v>
      </c>
      <c r="N436" s="3">
        <f>IFERROR(J437/每日收盤價!E436,0)</f>
        <v>0</v>
      </c>
      <c r="O436">
        <f t="shared" si="13"/>
        <v>0</v>
      </c>
    </row>
    <row r="437" spans="1:15">
      <c r="A437" s="9" t="s">
        <v>440</v>
      </c>
      <c r="B437">
        <f>B436*(1+$CD$2)*(1+每日報酬率!B437)</f>
        <v>0</v>
      </c>
      <c r="C437">
        <f>C436*(1+$CD$2)*(1+每日報酬率!C437)</f>
        <v>0.1875707536234239</v>
      </c>
      <c r="D437">
        <f>D436*(1+$CD$2)*(1+每日報酬率!D437)</f>
        <v>2.1124558437976488</v>
      </c>
      <c r="E437">
        <f>E436*(1+$CD$2)*(1+每日報酬率!E437)</f>
        <v>0.11512842715007668</v>
      </c>
      <c r="F437">
        <f t="shared" si="12"/>
        <v>2.4151550245711491</v>
      </c>
      <c r="K437" s="3">
        <f>IFERROR(G438/每日收盤價!B437,0)</f>
        <v>0</v>
      </c>
      <c r="L437" s="3">
        <f>IFERROR(H438/每日收盤價!C437,0)</f>
        <v>0</v>
      </c>
      <c r="M437" s="3">
        <f>IFERROR(I438/每日收盤價!D437,0)</f>
        <v>0</v>
      </c>
      <c r="N437" s="3">
        <f>IFERROR(J438/每日收盤價!E437,0)</f>
        <v>0</v>
      </c>
      <c r="O437">
        <f t="shared" si="13"/>
        <v>0</v>
      </c>
    </row>
    <row r="438" spans="1:15">
      <c r="A438" s="9" t="s">
        <v>441</v>
      </c>
      <c r="B438">
        <f>B437*(1+$CD$2)*(1+每日報酬率!B438)</f>
        <v>0</v>
      </c>
      <c r="C438">
        <f>C437*(1+$CD$2)*(1+每日報酬率!C438)</f>
        <v>0.18486354687009615</v>
      </c>
      <c r="D438">
        <f>D437*(1+$CD$2)*(1+每日報酬率!D438)</f>
        <v>2.0979869681551992</v>
      </c>
      <c r="E438">
        <f>E437*(1+$CD$2)*(1+每日報酬率!E438)</f>
        <v>0.11512842715007668</v>
      </c>
      <c r="F438">
        <f t="shared" si="12"/>
        <v>2.3979789421753721</v>
      </c>
      <c r="K438" s="3">
        <f>IFERROR(G439/每日收盤價!B438,0)</f>
        <v>0</v>
      </c>
      <c r="L438" s="3">
        <f>IFERROR(H439/每日收盤價!C438,0)</f>
        <v>0</v>
      </c>
      <c r="M438" s="3">
        <f>IFERROR(I439/每日收盤價!D438,0)</f>
        <v>0</v>
      </c>
      <c r="N438" s="3">
        <f>IFERROR(J439/每日收盤價!E438,0)</f>
        <v>0</v>
      </c>
      <c r="O438">
        <f t="shared" si="13"/>
        <v>0</v>
      </c>
    </row>
    <row r="439" spans="1:15">
      <c r="A439" s="9" t="s">
        <v>442</v>
      </c>
      <c r="B439">
        <f>B438*(1+$CD$2)*(1+每日報酬率!B439)</f>
        <v>0</v>
      </c>
      <c r="C439">
        <f>C438*(1+$CD$2)*(1+每日報酬率!C439)</f>
        <v>0.19066470419865567</v>
      </c>
      <c r="D439">
        <f>D438*(1+$CD$2)*(1+每日報酬率!D439)</f>
        <v>2.1413935950825485</v>
      </c>
      <c r="E439">
        <f>E438*(1+$CD$2)*(1+每日報酬率!E439)</f>
        <v>0.11512842715007668</v>
      </c>
      <c r="F439">
        <f t="shared" si="12"/>
        <v>2.4471867264312808</v>
      </c>
      <c r="K439" s="3">
        <f>IFERROR(G440/每日收盤價!B439,0)</f>
        <v>0</v>
      </c>
      <c r="L439" s="3">
        <f>IFERROR(H440/每日收盤價!C439,0)</f>
        <v>0</v>
      </c>
      <c r="M439" s="3">
        <f>IFERROR(I440/每日收盤價!D439,0)</f>
        <v>0</v>
      </c>
      <c r="N439" s="3">
        <f>IFERROR(J440/每日收盤價!E439,0)</f>
        <v>0</v>
      </c>
      <c r="O439">
        <f t="shared" si="13"/>
        <v>0</v>
      </c>
    </row>
    <row r="440" spans="1:15">
      <c r="A440" s="9" t="s">
        <v>443</v>
      </c>
      <c r="B440">
        <f>B439*(1+$CD$2)*(1+每日報酬率!B440)</f>
        <v>0</v>
      </c>
      <c r="C440">
        <f>C439*(1+$CD$2)*(1+每日報酬率!C440)</f>
        <v>0.19337191095198344</v>
      </c>
      <c r="D440">
        <f>D439*(1+$CD$2)*(1+每日報酬率!D440)</f>
        <v>2.1341591572613234</v>
      </c>
      <c r="E440">
        <f>E439*(1+$CD$2)*(1+每日報酬率!E440)</f>
        <v>0.11512842715007668</v>
      </c>
      <c r="F440">
        <f t="shared" si="12"/>
        <v>2.4426594953633836</v>
      </c>
      <c r="K440" s="3">
        <f>IFERROR(G441/每日收盤價!B440,0)</f>
        <v>0</v>
      </c>
      <c r="L440" s="3">
        <f>IFERROR(H441/每日收盤價!C440,0)</f>
        <v>0</v>
      </c>
      <c r="M440" s="3">
        <f>IFERROR(I441/每日收盤價!D440,0)</f>
        <v>0</v>
      </c>
      <c r="N440" s="3">
        <f>IFERROR(J441/每日收盤價!E440,0)</f>
        <v>0</v>
      </c>
      <c r="O440">
        <f t="shared" si="13"/>
        <v>0</v>
      </c>
    </row>
    <row r="441" spans="1:15">
      <c r="A441" s="9" t="s">
        <v>444</v>
      </c>
      <c r="B441">
        <f>B440*(1+$CD$2)*(1+每日報酬率!B441)</f>
        <v>0</v>
      </c>
      <c r="C441">
        <f>C440*(1+$CD$2)*(1+每日報酬率!C441)</f>
        <v>0.2011067873900628</v>
      </c>
      <c r="D441">
        <f>D440*(1+$CD$2)*(1+每日報酬率!D441)</f>
        <v>2.1775657841886722</v>
      </c>
      <c r="E441">
        <f>E440*(1+$CD$2)*(1+每日報酬率!E441)</f>
        <v>0.11512842715007668</v>
      </c>
      <c r="F441">
        <f t="shared" si="12"/>
        <v>2.4938009987288114</v>
      </c>
      <c r="K441" s="3">
        <f>IFERROR(G442/每日收盤價!B441,0)</f>
        <v>0</v>
      </c>
      <c r="L441" s="3">
        <f>IFERROR(H442/每日收盤價!C441,0)</f>
        <v>0</v>
      </c>
      <c r="M441" s="3">
        <f>IFERROR(I442/每日收盤價!D441,0)</f>
        <v>0</v>
      </c>
      <c r="N441" s="3">
        <f>IFERROR(J442/每日收盤價!E441,0)</f>
        <v>0</v>
      </c>
      <c r="O441">
        <f t="shared" si="13"/>
        <v>0</v>
      </c>
    </row>
    <row r="442" spans="1:15">
      <c r="A442" s="9" t="s">
        <v>445</v>
      </c>
      <c r="B442">
        <f>B441*(1+$CD$2)*(1+每日報酬率!B442)</f>
        <v>0</v>
      </c>
      <c r="C442">
        <f>C441*(1+$CD$2)*(1+每日報酬率!C442)</f>
        <v>0.20265376267767865</v>
      </c>
      <c r="D442">
        <f>D441*(1+$CD$2)*(1+每日報酬率!D442)</f>
        <v>2.1775657841886722</v>
      </c>
      <c r="E442">
        <f>E441*(1+$CD$2)*(1+每日報酬率!E442)</f>
        <v>0.11512842715007668</v>
      </c>
      <c r="F442">
        <f t="shared" si="12"/>
        <v>2.4953479740164273</v>
      </c>
      <c r="K442" s="3">
        <f>IFERROR(G443/每日收盤價!B442,0)</f>
        <v>0</v>
      </c>
      <c r="L442" s="3">
        <f>IFERROR(H443/每日收盤價!C442,0)</f>
        <v>0</v>
      </c>
      <c r="M442" s="3">
        <f>IFERROR(I443/每日收盤價!D442,0)</f>
        <v>0</v>
      </c>
      <c r="N442" s="3">
        <f>IFERROR(J443/每日收盤價!E442,0)</f>
        <v>0</v>
      </c>
      <c r="O442">
        <f t="shared" si="13"/>
        <v>0</v>
      </c>
    </row>
    <row r="443" spans="1:15">
      <c r="A443" s="9" t="s">
        <v>446</v>
      </c>
      <c r="B443">
        <f>B442*(1+$CD$2)*(1+每日報酬率!B443)</f>
        <v>0</v>
      </c>
      <c r="C443">
        <f>C442*(1+$CD$2)*(1+每日報酬率!C443)</f>
        <v>0.19917306828054296</v>
      </c>
      <c r="D443">
        <f>D442*(1+$CD$2)*(1+每日報酬率!D443)</f>
        <v>2.1703313463674472</v>
      </c>
      <c r="E443">
        <f>E442*(1+$CD$2)*(1+每日報酬率!E443)</f>
        <v>0.11512842715007668</v>
      </c>
      <c r="F443">
        <f t="shared" si="12"/>
        <v>2.4846328417980668</v>
      </c>
      <c r="K443" s="3">
        <f>IFERROR(G444/每日收盤價!B443,0)</f>
        <v>0</v>
      </c>
      <c r="L443" s="3">
        <f>IFERROR(H444/每日收盤價!C443,0)</f>
        <v>0</v>
      </c>
      <c r="M443" s="3">
        <f>IFERROR(I444/每日收盤價!D443,0)</f>
        <v>0</v>
      </c>
      <c r="N443" s="3">
        <f>IFERROR(J444/每日收盤價!E443,0)</f>
        <v>0</v>
      </c>
      <c r="O443">
        <f t="shared" si="13"/>
        <v>0</v>
      </c>
    </row>
    <row r="444" spans="1:15">
      <c r="A444" s="9" t="s">
        <v>447</v>
      </c>
      <c r="B444">
        <f>B443*(1+$CD$2)*(1+每日報酬率!B444)</f>
        <v>0</v>
      </c>
      <c r="C444">
        <f>C443*(1+$CD$2)*(1+每日報酬率!C444)</f>
        <v>0.19453214241769537</v>
      </c>
      <c r="D444">
        <f>D443*(1+$CD$2)*(1+每日報酬率!D444)</f>
        <v>2.1848002220098968</v>
      </c>
      <c r="E444">
        <f>E443*(1+$CD$2)*(1+每日報酬率!E444)</f>
        <v>0.11512842715007668</v>
      </c>
      <c r="F444">
        <f t="shared" si="12"/>
        <v>2.4944607915776689</v>
      </c>
      <c r="K444" s="3">
        <f>IFERROR(G445/每日收盤價!B444,0)</f>
        <v>0</v>
      </c>
      <c r="L444" s="3">
        <f>IFERROR(H445/每日收盤價!C444,0)</f>
        <v>0</v>
      </c>
      <c r="M444" s="3">
        <f>IFERROR(I445/每日收盤價!D444,0)</f>
        <v>0</v>
      </c>
      <c r="N444" s="3">
        <f>IFERROR(J445/每日收盤價!E444,0)</f>
        <v>0</v>
      </c>
      <c r="O444">
        <f t="shared" si="13"/>
        <v>0</v>
      </c>
    </row>
    <row r="445" spans="1:15">
      <c r="A445" s="9" t="s">
        <v>448</v>
      </c>
      <c r="B445">
        <f>B444*(1+$CD$2)*(1+每日報酬率!B445)</f>
        <v>0</v>
      </c>
      <c r="C445">
        <f>C444*(1+$CD$2)*(1+每日報酬率!C445)</f>
        <v>0.18873098508913586</v>
      </c>
      <c r="D445">
        <f>D444*(1+$CD$2)*(1+每日報酬率!D445)</f>
        <v>2.1775657841886717</v>
      </c>
      <c r="E445">
        <f>E444*(1+$CD$2)*(1+每日報酬率!E445)</f>
        <v>0.11512842715007668</v>
      </c>
      <c r="F445">
        <f t="shared" si="12"/>
        <v>2.481425196427884</v>
      </c>
      <c r="K445" s="3">
        <f>IFERROR(G446/每日收盤價!B445,0)</f>
        <v>0</v>
      </c>
      <c r="L445" s="3">
        <f>IFERROR(H446/每日收盤價!C445,0)</f>
        <v>0</v>
      </c>
      <c r="M445" s="3">
        <f>IFERROR(I446/每日收盤價!D445,0)</f>
        <v>0</v>
      </c>
      <c r="N445" s="3">
        <f>IFERROR(J446/每日收盤價!E445,0)</f>
        <v>0</v>
      </c>
      <c r="O445">
        <f t="shared" si="13"/>
        <v>0</v>
      </c>
    </row>
    <row r="446" spans="1:15">
      <c r="A446" s="9" t="s">
        <v>449</v>
      </c>
      <c r="B446">
        <f>B445*(1+$CD$2)*(1+每日報酬率!B446)</f>
        <v>0</v>
      </c>
      <c r="C446">
        <f>C445*(1+$CD$2)*(1+每日報酬率!C446)</f>
        <v>0.19105144802055968</v>
      </c>
      <c r="D446">
        <f>D445*(1+$CD$2)*(1+每日報酬率!D446)</f>
        <v>2.1124558437976484</v>
      </c>
      <c r="E446">
        <f>E445*(1+$CD$2)*(1+每日報酬率!E446)</f>
        <v>0.11512842715007668</v>
      </c>
      <c r="F446">
        <f t="shared" si="12"/>
        <v>2.4186357189682846</v>
      </c>
      <c r="K446" s="3">
        <f>IFERROR(G447/每日收盤價!B446,0)</f>
        <v>0</v>
      </c>
      <c r="L446" s="3">
        <f>IFERROR(H447/每日收盤價!C446,0)</f>
        <v>0</v>
      </c>
      <c r="M446" s="3">
        <f>IFERROR(I447/每日收盤價!D446,0)</f>
        <v>0</v>
      </c>
      <c r="N446" s="3">
        <f>IFERROR(J447/每日收盤價!E446,0)</f>
        <v>0</v>
      </c>
      <c r="O446">
        <f t="shared" si="13"/>
        <v>0</v>
      </c>
    </row>
    <row r="447" spans="1:15">
      <c r="A447" s="9" t="s">
        <v>450</v>
      </c>
      <c r="B447">
        <f>B446*(1+$CD$2)*(1+每日報酬率!B447)</f>
        <v>0</v>
      </c>
      <c r="C447">
        <f>C446*(1+$CD$2)*(1+每日報酬率!C447)</f>
        <v>0.19182493566436759</v>
      </c>
      <c r="D447">
        <f>D446*(1+$CD$2)*(1+每日報酬率!D447)</f>
        <v>2.119690281618873</v>
      </c>
      <c r="E447">
        <f>E446*(1+$CD$2)*(1+每日報酬率!E447)</f>
        <v>0.11512842715007668</v>
      </c>
      <c r="F447">
        <f t="shared" si="12"/>
        <v>2.4266436444333173</v>
      </c>
      <c r="K447" s="3">
        <f>IFERROR(G448/每日收盤價!B447,0)</f>
        <v>0</v>
      </c>
      <c r="L447" s="3">
        <f>IFERROR(H448/每日收盤價!C447,0)</f>
        <v>0</v>
      </c>
      <c r="M447" s="3">
        <f>IFERROR(I448/每日收盤價!D447,0)</f>
        <v>0</v>
      </c>
      <c r="N447" s="3">
        <f>IFERROR(J448/每日收盤價!E447,0)</f>
        <v>0</v>
      </c>
      <c r="O447">
        <f t="shared" si="13"/>
        <v>0</v>
      </c>
    </row>
    <row r="448" spans="1:15">
      <c r="A448" s="9" t="s">
        <v>451</v>
      </c>
      <c r="B448">
        <f>B447*(1+$CD$2)*(1+每日報酬率!B448)</f>
        <v>0</v>
      </c>
      <c r="C448">
        <f>C447*(1+$CD$2)*(1+每日報酬率!C448)</f>
        <v>0.18873098508913586</v>
      </c>
      <c r="D448">
        <f>D447*(1+$CD$2)*(1+每日報酬率!D448)</f>
        <v>2.1124558437976479</v>
      </c>
      <c r="E448">
        <f>E447*(1+$CD$2)*(1+每日報酬率!E448)</f>
        <v>0.11512842715007668</v>
      </c>
      <c r="F448">
        <f t="shared" si="12"/>
        <v>2.4163152560368601</v>
      </c>
      <c r="K448" s="3">
        <f>IFERROR(G449/每日收盤價!B448,0)</f>
        <v>0</v>
      </c>
      <c r="L448" s="3">
        <f>IFERROR(H449/每日收盤價!C448,0)</f>
        <v>0</v>
      </c>
      <c r="M448" s="3">
        <f>IFERROR(I449/每日收盤價!D448,0)</f>
        <v>0</v>
      </c>
      <c r="N448" s="3">
        <f>IFERROR(J449/每日收盤價!E448,0)</f>
        <v>0</v>
      </c>
      <c r="O448">
        <f t="shared" si="13"/>
        <v>0</v>
      </c>
    </row>
    <row r="449" spans="1:15">
      <c r="A449" s="9" t="s">
        <v>452</v>
      </c>
      <c r="B449">
        <f>B448*(1+$CD$2)*(1+每日報酬率!B449)</f>
        <v>0</v>
      </c>
      <c r="C449">
        <f>C448*(1+$CD$2)*(1+每日報酬率!C449)</f>
        <v>0.19298516713007949</v>
      </c>
      <c r="D449">
        <f>D448*(1+$CD$2)*(1+每日報酬率!D449)</f>
        <v>2.1341591572613221</v>
      </c>
      <c r="E449">
        <f>E448*(1+$CD$2)*(1+每日報酬率!E449)</f>
        <v>0.11512842715007668</v>
      </c>
      <c r="F449">
        <f t="shared" si="12"/>
        <v>2.4422727515414779</v>
      </c>
      <c r="K449" s="3">
        <f>IFERROR(G450/每日收盤價!B449,0)</f>
        <v>0</v>
      </c>
      <c r="L449" s="3">
        <f>IFERROR(H450/每日收盤價!C449,0)</f>
        <v>0</v>
      </c>
      <c r="M449" s="3">
        <f>IFERROR(I450/每日收盤價!D449,0)</f>
        <v>0</v>
      </c>
      <c r="N449" s="3">
        <f>IFERROR(J450/每日收盤價!E449,0)</f>
        <v>0</v>
      </c>
      <c r="O449">
        <f t="shared" si="13"/>
        <v>0</v>
      </c>
    </row>
    <row r="450" spans="1:15">
      <c r="A450" s="9" t="s">
        <v>453</v>
      </c>
      <c r="B450">
        <f>B449*(1+$CD$2)*(1+每日報酬率!B450)</f>
        <v>0</v>
      </c>
      <c r="C450">
        <f>C449*(1+$CD$2)*(1+每日報酬率!C450)</f>
        <v>0.19066470419865569</v>
      </c>
      <c r="D450">
        <f>D449*(1+$CD$2)*(1+每日報酬率!D450)</f>
        <v>2.1196902816188725</v>
      </c>
      <c r="E450">
        <f>E449*(1+$CD$2)*(1+每日報酬率!E450)</f>
        <v>0.11512842715007668</v>
      </c>
      <c r="F450">
        <f t="shared" si="12"/>
        <v>2.4254834129676048</v>
      </c>
      <c r="K450" s="3">
        <f>IFERROR(G451/每日收盤價!B450,0)</f>
        <v>0</v>
      </c>
      <c r="L450" s="3">
        <f>IFERROR(H451/每日收盤價!C450,0)</f>
        <v>0</v>
      </c>
      <c r="M450" s="3">
        <f>IFERROR(I451/每日收盤價!D450,0)</f>
        <v>0</v>
      </c>
      <c r="N450" s="3">
        <f>IFERROR(J451/每日收盤價!E450,0)</f>
        <v>0</v>
      </c>
      <c r="O450">
        <f t="shared" si="13"/>
        <v>0</v>
      </c>
    </row>
    <row r="451" spans="1:15">
      <c r="A451" s="9" t="s">
        <v>454</v>
      </c>
      <c r="B451">
        <f>B450*(1+$CD$2)*(1+每日報酬率!B451)</f>
        <v>0</v>
      </c>
      <c r="C451">
        <f>C450*(1+$CD$2)*(1+每日報酬率!C451)</f>
        <v>0.19414539859579139</v>
      </c>
      <c r="D451">
        <f>D450*(1+$CD$2)*(1+每日報酬率!D451)</f>
        <v>2.1341591572613225</v>
      </c>
      <c r="E451">
        <f>E450*(1+$CD$2)*(1+每日報酬率!E451)</f>
        <v>0.11512842715007668</v>
      </c>
      <c r="F451">
        <f t="shared" ref="F451:F479" si="14">SUM(B451:E451)</f>
        <v>2.4434329830071904</v>
      </c>
      <c r="K451" s="3">
        <f>IFERROR(G452/每日收盤價!B451,0)</f>
        <v>0</v>
      </c>
      <c r="L451" s="3">
        <f>IFERROR(H452/每日收盤價!C451,0)</f>
        <v>0</v>
      </c>
      <c r="M451" s="3">
        <f>IFERROR(I452/每日收盤價!D451,0)</f>
        <v>0</v>
      </c>
      <c r="N451" s="3">
        <f>IFERROR(J452/每日收盤價!E451,0)</f>
        <v>0</v>
      </c>
      <c r="O451">
        <f t="shared" ref="O451:O479" si="15">SUM(K451:N451)</f>
        <v>0</v>
      </c>
    </row>
    <row r="452" spans="1:15">
      <c r="A452" s="9" t="s">
        <v>455</v>
      </c>
      <c r="B452">
        <f>B451*(1+$CD$2)*(1+每日報酬率!B452)</f>
        <v>0</v>
      </c>
      <c r="C452">
        <f>C451*(1+$CD$2)*(1+每日報酬率!C452)</f>
        <v>0.19491888623959933</v>
      </c>
      <c r="D452">
        <f>D451*(1+$CD$2)*(1+每日報酬率!D452)</f>
        <v>2.1124558437976484</v>
      </c>
      <c r="E452">
        <f>E451*(1+$CD$2)*(1+每日報酬率!E452)</f>
        <v>0.11512842715007668</v>
      </c>
      <c r="F452">
        <f t="shared" si="14"/>
        <v>2.4225031571873243</v>
      </c>
      <c r="K452" s="3">
        <f>IFERROR(G453/每日收盤價!B452,0)</f>
        <v>0</v>
      </c>
      <c r="L452" s="3">
        <f>IFERROR(H453/每日收盤價!C452,0)</f>
        <v>0</v>
      </c>
      <c r="M452" s="3">
        <f>IFERROR(I453/每日收盤價!D452,0)</f>
        <v>0</v>
      </c>
      <c r="N452" s="3">
        <f>IFERROR(J453/每日收盤價!E452,0)</f>
        <v>0</v>
      </c>
      <c r="O452">
        <f t="shared" si="15"/>
        <v>0</v>
      </c>
    </row>
    <row r="453" spans="1:15">
      <c r="A453" s="9" t="s">
        <v>456</v>
      </c>
      <c r="B453">
        <f>B452*(1+$CD$2)*(1+每日報酬率!B453)</f>
        <v>0</v>
      </c>
      <c r="C453">
        <f>C452*(1+$CD$2)*(1+每日報酬率!C453)</f>
        <v>0.18641052215771206</v>
      </c>
      <c r="D453">
        <f>D452*(1+$CD$2)*(1+每日報酬率!D453)</f>
        <v>2.0690492168702996</v>
      </c>
      <c r="E453">
        <f>E452*(1+$CD$2)*(1+每日報酬率!E453)</f>
        <v>0.11512842715007668</v>
      </c>
      <c r="F453">
        <f t="shared" si="14"/>
        <v>2.3705881661780883</v>
      </c>
      <c r="K453" s="3">
        <f>IFERROR(G454/每日收盤價!B453,0)</f>
        <v>0</v>
      </c>
      <c r="L453" s="3">
        <f>IFERROR(H454/每日收盤價!C453,0)</f>
        <v>0</v>
      </c>
      <c r="M453" s="3">
        <f>IFERROR(I454/每日收盤價!D453,0)</f>
        <v>0</v>
      </c>
      <c r="N453" s="3">
        <f>IFERROR(J454/每日收盤價!E453,0)</f>
        <v>0</v>
      </c>
      <c r="O453">
        <f t="shared" si="15"/>
        <v>0</v>
      </c>
    </row>
    <row r="454" spans="1:15">
      <c r="A454" s="9" t="s">
        <v>457</v>
      </c>
      <c r="B454">
        <f>B453*(1+$CD$2)*(1+每日報酬率!B454)</f>
        <v>0</v>
      </c>
      <c r="C454">
        <f>C453*(1+$CD$2)*(1+每日報酬率!C454)</f>
        <v>0.18254308393867238</v>
      </c>
      <c r="D454">
        <f>D453*(1+$CD$2)*(1+每日報酬率!D454)</f>
        <v>2.0907525303339738</v>
      </c>
      <c r="E454">
        <f>E453*(1+$CD$2)*(1+每日報酬率!E454)</f>
        <v>0.11512842715007668</v>
      </c>
      <c r="F454">
        <f t="shared" si="14"/>
        <v>2.3884240414227227</v>
      </c>
      <c r="K454" s="3">
        <f>IFERROR(G455/每日收盤價!B454,0)</f>
        <v>0</v>
      </c>
      <c r="L454" s="3">
        <f>IFERROR(H455/每日收盤價!C454,0)</f>
        <v>0</v>
      </c>
      <c r="M454" s="3">
        <f>IFERROR(I455/每日收盤價!D454,0)</f>
        <v>0</v>
      </c>
      <c r="N454" s="3">
        <f>IFERROR(J455/每日收盤價!E454,0)</f>
        <v>0</v>
      </c>
      <c r="O454">
        <f t="shared" si="15"/>
        <v>0</v>
      </c>
    </row>
    <row r="455" spans="1:15">
      <c r="A455" s="9" t="s">
        <v>458</v>
      </c>
      <c r="B455">
        <f>B454*(1+$CD$2)*(1+每日報酬率!B455)</f>
        <v>0</v>
      </c>
      <c r="C455">
        <f>C454*(1+$CD$2)*(1+每日報酬率!C455)</f>
        <v>0.17790215807582477</v>
      </c>
      <c r="D455">
        <f>D454*(1+$CD$2)*(1+每日報酬率!D455)</f>
        <v>2.0328770277641754</v>
      </c>
      <c r="E455">
        <f>E454*(1+$CD$2)*(1+每日報酬率!E455)</f>
        <v>0.11512842715007668</v>
      </c>
      <c r="F455">
        <f t="shared" si="14"/>
        <v>2.3259076129900769</v>
      </c>
      <c r="K455" s="3">
        <f>IFERROR(G456/每日收盤價!B455,0)</f>
        <v>0</v>
      </c>
      <c r="L455" s="3">
        <f>IFERROR(H456/每日收盤價!C455,0)</f>
        <v>0</v>
      </c>
      <c r="M455" s="3">
        <f>IFERROR(I456/每日收盤價!D455,0)</f>
        <v>0</v>
      </c>
      <c r="N455" s="3">
        <f>IFERROR(J456/每日收盤價!E455,0)</f>
        <v>0</v>
      </c>
      <c r="O455">
        <f t="shared" si="15"/>
        <v>0</v>
      </c>
    </row>
    <row r="456" spans="1:15">
      <c r="A456" s="9" t="s">
        <v>459</v>
      </c>
      <c r="B456">
        <f>B455*(1+$CD$2)*(1+每日報酬率!B456)</f>
        <v>0</v>
      </c>
      <c r="C456">
        <f>C455*(1+$CD$2)*(1+每日報酬率!C456)</f>
        <v>0.17712867043201683</v>
      </c>
      <c r="D456">
        <f>D455*(1+$CD$2)*(1+每日報酬率!D456)</f>
        <v>2.0184081521217259</v>
      </c>
      <c r="E456">
        <f>E455*(1+$CD$2)*(1+每日報酬率!E456)</f>
        <v>0.11512842715007668</v>
      </c>
      <c r="F456">
        <f t="shared" si="14"/>
        <v>2.3106652497038191</v>
      </c>
      <c r="K456" s="3">
        <f>IFERROR(G457/每日收盤價!B456,0)</f>
        <v>0</v>
      </c>
      <c r="L456" s="3">
        <f>IFERROR(H457/每日收盤價!C456,0)</f>
        <v>0</v>
      </c>
      <c r="M456" s="3">
        <f>IFERROR(I457/每日收盤價!D456,0)</f>
        <v>0</v>
      </c>
      <c r="N456" s="3">
        <f>IFERROR(J457/每日收盤價!E456,0)</f>
        <v>0</v>
      </c>
      <c r="O456">
        <f t="shared" si="15"/>
        <v>0</v>
      </c>
    </row>
    <row r="457" spans="1:15">
      <c r="A457" s="9" t="s">
        <v>460</v>
      </c>
      <c r="B457">
        <f>B456*(1+$CD$2)*(1+每日報酬率!B457)</f>
        <v>0</v>
      </c>
      <c r="C457">
        <f>C456*(1+$CD$2)*(1+每日報酬率!C457)</f>
        <v>0.18292982776057631</v>
      </c>
      <c r="D457">
        <f>D456*(1+$CD$2)*(1+每日報酬率!D457)</f>
        <v>2.1052214059764238</v>
      </c>
      <c r="E457">
        <f>E456*(1+$CD$2)*(1+每日報酬率!E457)</f>
        <v>0.11512842715007668</v>
      </c>
      <c r="F457">
        <f t="shared" si="14"/>
        <v>2.4032796608870766</v>
      </c>
      <c r="K457" s="3">
        <f>IFERROR(G458/每日收盤價!B457,0)</f>
        <v>0</v>
      </c>
      <c r="L457" s="3">
        <f>IFERROR(H458/每日收盤價!C457,0)</f>
        <v>0</v>
      </c>
      <c r="M457" s="3">
        <f>IFERROR(I458/每日收盤價!D457,0)</f>
        <v>0</v>
      </c>
      <c r="N457" s="3">
        <f>IFERROR(J458/每日收盤價!E457,0)</f>
        <v>0</v>
      </c>
      <c r="O457">
        <f t="shared" si="15"/>
        <v>0</v>
      </c>
    </row>
    <row r="458" spans="1:15">
      <c r="A458" s="9" t="s">
        <v>461</v>
      </c>
      <c r="B458">
        <f>B457*(1+$CD$2)*(1+每日報酬率!B458)</f>
        <v>0</v>
      </c>
      <c r="C458">
        <f>C457*(1+$CD$2)*(1+每日報酬率!C458)</f>
        <v>0.17403471985678506</v>
      </c>
      <c r="D458">
        <f>D457*(1+$CD$2)*(1+每日報酬率!D458)</f>
        <v>2.0039392764792763</v>
      </c>
      <c r="E458">
        <f>E457*(1+$CD$2)*(1+每日報酬率!E458)</f>
        <v>0.11512842715007668</v>
      </c>
      <c r="F458">
        <f t="shared" si="14"/>
        <v>2.2931024234861379</v>
      </c>
      <c r="K458" s="3">
        <f>IFERROR(G459/每日收盤價!B458,0)</f>
        <v>0</v>
      </c>
      <c r="L458" s="3">
        <f>IFERROR(H459/每日收盤價!C458,0)</f>
        <v>0</v>
      </c>
      <c r="M458" s="3">
        <f>IFERROR(I459/每日收盤價!D458,0)</f>
        <v>0</v>
      </c>
      <c r="N458" s="3">
        <f>IFERROR(J459/每日收盤價!E458,0)</f>
        <v>0</v>
      </c>
      <c r="O458">
        <f t="shared" si="15"/>
        <v>0</v>
      </c>
    </row>
    <row r="459" spans="1:15">
      <c r="A459" s="9" t="s">
        <v>462</v>
      </c>
      <c r="B459">
        <f>B458*(1+$CD$2)*(1+每日報酬率!B459)</f>
        <v>0</v>
      </c>
      <c r="C459">
        <f>C458*(1+$CD$2)*(1+每日報酬率!C459)</f>
        <v>0.17016728163774539</v>
      </c>
      <c r="D459">
        <f>D458*(1+$CD$2)*(1+每日報酬率!D459)</f>
        <v>1.9894704008368267</v>
      </c>
      <c r="E459">
        <f>E458*(1+$CD$2)*(1+每日報酬率!E459)</f>
        <v>0.11512842715007668</v>
      </c>
      <c r="F459">
        <f t="shared" si="14"/>
        <v>2.2747661096246485</v>
      </c>
      <c r="K459" s="3">
        <f>IFERROR(G460/每日收盤價!B459,0)</f>
        <v>0</v>
      </c>
      <c r="L459" s="3">
        <f>IFERROR(H460/每日收盤價!C459,0)</f>
        <v>0</v>
      </c>
      <c r="M459" s="3">
        <f>IFERROR(I460/每日收盤價!D459,0)</f>
        <v>0</v>
      </c>
      <c r="N459" s="3">
        <f>IFERROR(J460/每日收盤價!E459,0)</f>
        <v>0</v>
      </c>
      <c r="O459">
        <f t="shared" si="15"/>
        <v>0</v>
      </c>
    </row>
    <row r="460" spans="1:15">
      <c r="A460" s="9" t="s">
        <v>463</v>
      </c>
      <c r="B460">
        <f>B459*(1+$CD$2)*(1+每日報酬率!B460)</f>
        <v>0</v>
      </c>
      <c r="C460">
        <f>C459*(1+$CD$2)*(1+每日報酬率!C460)</f>
        <v>0.16939379399393745</v>
      </c>
      <c r="D460">
        <f>D459*(1+$CD$2)*(1+每日報酬率!D460)</f>
        <v>2.047345903406625</v>
      </c>
      <c r="E460">
        <f>E459*(1+$CD$2)*(1+每日報酬率!E460)</f>
        <v>0.11512842715007668</v>
      </c>
      <c r="F460">
        <f t="shared" si="14"/>
        <v>2.3318681245506392</v>
      </c>
      <c r="K460" s="3">
        <f>IFERROR(G461/每日收盤價!B460,0)</f>
        <v>0</v>
      </c>
      <c r="L460" s="3">
        <f>IFERROR(H461/每日收盤價!C460,0)</f>
        <v>0</v>
      </c>
      <c r="M460" s="3">
        <f>IFERROR(I461/每日收盤價!D460,0)</f>
        <v>0</v>
      </c>
      <c r="N460" s="3">
        <f>IFERROR(J461/每日收盤價!E460,0)</f>
        <v>0</v>
      </c>
      <c r="O460">
        <f t="shared" si="15"/>
        <v>0</v>
      </c>
    </row>
    <row r="461" spans="1:15">
      <c r="A461" s="9" t="s">
        <v>464</v>
      </c>
      <c r="B461">
        <f>B460*(1+$CD$2)*(1+每日報酬率!B461)</f>
        <v>0</v>
      </c>
      <c r="C461">
        <f>C460*(1+$CD$2)*(1+每日報酬率!C461)</f>
        <v>0.17558169514440092</v>
      </c>
      <c r="D461">
        <f>D460*(1+$CD$2)*(1+每日報酬率!D461)</f>
        <v>2.0835180925127488</v>
      </c>
      <c r="E461">
        <f>E460*(1+$CD$2)*(1+每日報酬率!E461)</f>
        <v>0.11512842715007668</v>
      </c>
      <c r="F461">
        <f t="shared" si="14"/>
        <v>2.3742282148072262</v>
      </c>
      <c r="K461" s="3">
        <f>IFERROR(G462/每日收盤價!B461,0)</f>
        <v>0</v>
      </c>
      <c r="L461" s="3">
        <f>IFERROR(H462/每日收盤價!C461,0)</f>
        <v>0</v>
      </c>
      <c r="M461" s="3">
        <f>IFERROR(I462/每日收盤價!D461,0)</f>
        <v>0</v>
      </c>
      <c r="N461" s="3">
        <f>IFERROR(J462/每日收盤價!E461,0)</f>
        <v>0</v>
      </c>
      <c r="O461">
        <f t="shared" si="15"/>
        <v>0</v>
      </c>
    </row>
    <row r="462" spans="1:15">
      <c r="A462" s="9" t="s">
        <v>465</v>
      </c>
      <c r="B462">
        <f>B461*(1+$CD$2)*(1+每日報酬率!B462)</f>
        <v>0</v>
      </c>
      <c r="C462">
        <f>C461*(1+$CD$2)*(1+每日報酬率!C462)</f>
        <v>0.17867564571963263</v>
      </c>
      <c r="D462">
        <f>D461*(1+$CD$2)*(1+每日報酬率!D462)</f>
        <v>2.0762836546915238</v>
      </c>
      <c r="E462">
        <f>E461*(1+$CD$2)*(1+每日報酬率!E462)</f>
        <v>0.11512842715007668</v>
      </c>
      <c r="F462">
        <f t="shared" si="14"/>
        <v>2.3700877275612329</v>
      </c>
      <c r="K462" s="3">
        <f>IFERROR(G463/每日收盤價!B462,0)</f>
        <v>0</v>
      </c>
      <c r="L462" s="3">
        <f>IFERROR(H463/每日收盤價!C462,0)</f>
        <v>0</v>
      </c>
      <c r="M462" s="3">
        <f>IFERROR(I463/每日收盤價!D462,0)</f>
        <v>0</v>
      </c>
      <c r="N462" s="3">
        <f>IFERROR(J463/每日收盤價!E462,0)</f>
        <v>0</v>
      </c>
      <c r="O462">
        <f t="shared" si="15"/>
        <v>0</v>
      </c>
    </row>
    <row r="463" spans="1:15">
      <c r="A463" s="9" t="s">
        <v>466</v>
      </c>
      <c r="B463">
        <f>B462*(1+$CD$2)*(1+每日報酬率!B463)</f>
        <v>0</v>
      </c>
      <c r="C463">
        <f>C462*(1+$CD$2)*(1+每日報酬率!C463)</f>
        <v>0.17442146367868899</v>
      </c>
      <c r="D463">
        <f>D462*(1+$CD$2)*(1+每日報酬率!D463)</f>
        <v>2.0835180925127483</v>
      </c>
      <c r="E463">
        <f>E462*(1+$CD$2)*(1+每日報酬率!E463)</f>
        <v>0.11512842715007668</v>
      </c>
      <c r="F463">
        <f t="shared" si="14"/>
        <v>2.3730679833415138</v>
      </c>
      <c r="K463" s="3">
        <f>IFERROR(G464/每日收盤價!B463,0)</f>
        <v>0</v>
      </c>
      <c r="L463" s="3">
        <f>IFERROR(H464/每日收盤價!C463,0)</f>
        <v>0</v>
      </c>
      <c r="M463" s="3">
        <f>IFERROR(I464/每日收盤價!D463,0)</f>
        <v>0</v>
      </c>
      <c r="N463" s="3">
        <f>IFERROR(J464/每日收盤價!E463,0)</f>
        <v>0</v>
      </c>
      <c r="O463">
        <f t="shared" si="15"/>
        <v>0</v>
      </c>
    </row>
    <row r="464" spans="1:15">
      <c r="A464" s="9" t="s">
        <v>467</v>
      </c>
      <c r="B464">
        <f>B463*(1+$CD$2)*(1+每日報酬率!B464)</f>
        <v>0</v>
      </c>
      <c r="C464">
        <f>C463*(1+$CD$2)*(1+每日報酬率!C464)</f>
        <v>0.17171425692536124</v>
      </c>
      <c r="D464">
        <f>D463*(1+$CD$2)*(1+每日報酬率!D464)</f>
        <v>2.0401114655853991</v>
      </c>
      <c r="E464">
        <f>E463*(1+$CD$2)*(1+每日報酬率!E464)</f>
        <v>0.11512842715007668</v>
      </c>
      <c r="F464">
        <f t="shared" si="14"/>
        <v>2.3269541496608368</v>
      </c>
      <c r="K464" s="3">
        <f>IFERROR(G465/每日收盤價!B464,0)</f>
        <v>0</v>
      </c>
      <c r="L464" s="3">
        <f>IFERROR(H465/每日收盤價!C464,0)</f>
        <v>0</v>
      </c>
      <c r="M464" s="3">
        <f>IFERROR(I465/每日收盤價!D464,0)</f>
        <v>0</v>
      </c>
      <c r="N464" s="3">
        <f>IFERROR(J465/每日收盤價!E464,0)</f>
        <v>0</v>
      </c>
      <c r="O464">
        <f t="shared" si="15"/>
        <v>0</v>
      </c>
    </row>
    <row r="465" spans="1:15">
      <c r="A465" s="9" t="s">
        <v>468</v>
      </c>
      <c r="B465">
        <f>B464*(1+$CD$2)*(1+每日報酬率!B465)</f>
        <v>0</v>
      </c>
      <c r="C465">
        <f>C464*(1+$CD$2)*(1+每日報酬率!C465)</f>
        <v>0.17171425692536124</v>
      </c>
      <c r="D465">
        <f>D464*(1+$CD$2)*(1+每日報酬率!D465)</f>
        <v>2.0690492168702983</v>
      </c>
      <c r="E465">
        <f>E464*(1+$CD$2)*(1+每日報酬率!E465)</f>
        <v>0.11512842715007668</v>
      </c>
      <c r="F465">
        <f t="shared" si="14"/>
        <v>2.355891900945736</v>
      </c>
      <c r="K465" s="3">
        <f>IFERROR(G466/每日收盤價!B465,0)</f>
        <v>0</v>
      </c>
      <c r="L465" s="3">
        <f>IFERROR(H466/每日收盤價!C465,0)</f>
        <v>0</v>
      </c>
      <c r="M465" s="3">
        <f>IFERROR(I466/每日收盤價!D465,0)</f>
        <v>0</v>
      </c>
      <c r="N465" s="3">
        <f>IFERROR(J466/每日收盤價!E465,0)</f>
        <v>0</v>
      </c>
      <c r="O465">
        <f t="shared" si="15"/>
        <v>0</v>
      </c>
    </row>
    <row r="466" spans="1:15">
      <c r="A466" s="9" t="s">
        <v>469</v>
      </c>
      <c r="B466">
        <f>B465*(1+$CD$2)*(1+每日報酬率!B466)</f>
        <v>0</v>
      </c>
      <c r="C466">
        <f>C465*(1+$CD$2)*(1+每日報酬率!C466)</f>
        <v>0.17558169514440092</v>
      </c>
      <c r="D466">
        <f>D465*(1+$CD$2)*(1+每日報酬率!D466)</f>
        <v>2.0979869681551975</v>
      </c>
      <c r="E466">
        <f>E465*(1+$CD$2)*(1+每日報酬率!E466)</f>
        <v>0.11512842715007668</v>
      </c>
      <c r="F466">
        <f t="shared" si="14"/>
        <v>2.3886970904496749</v>
      </c>
      <c r="K466" s="3">
        <f>IFERROR(G467/每日收盤價!B466,0)</f>
        <v>0</v>
      </c>
      <c r="L466" s="3">
        <f>IFERROR(H467/每日收盤價!C466,0)</f>
        <v>0</v>
      </c>
      <c r="M466" s="3">
        <f>IFERROR(I467/每日收盤價!D466,0)</f>
        <v>0</v>
      </c>
      <c r="N466" s="3">
        <f>IFERROR(J467/每日收盤價!E466,0)</f>
        <v>0</v>
      </c>
      <c r="O466">
        <f t="shared" si="15"/>
        <v>0</v>
      </c>
    </row>
    <row r="467" spans="1:15">
      <c r="A467" s="9" t="s">
        <v>470</v>
      </c>
      <c r="B467">
        <f>B466*(1+$CD$2)*(1+每日報酬率!B467)</f>
        <v>0</v>
      </c>
      <c r="C467">
        <f>C466*(1+$CD$2)*(1+每日報酬率!C467)</f>
        <v>0.17674192661011282</v>
      </c>
      <c r="D467">
        <f>D466*(1+$CD$2)*(1+每日報酬率!D467)</f>
        <v>2.0907525303339725</v>
      </c>
      <c r="E467">
        <f>E466*(1+$CD$2)*(1+每日報酬率!E467)</f>
        <v>0.11512842715007668</v>
      </c>
      <c r="F467">
        <f t="shared" si="14"/>
        <v>2.3826228840941619</v>
      </c>
      <c r="K467" s="3">
        <f>IFERROR(G468/每日收盤價!B467,0)</f>
        <v>0</v>
      </c>
      <c r="L467" s="3">
        <f>IFERROR(H468/每日收盤價!C467,0)</f>
        <v>0</v>
      </c>
      <c r="M467" s="3">
        <f>IFERROR(I468/每日收盤價!D467,0)</f>
        <v>0</v>
      </c>
      <c r="N467" s="3">
        <f>IFERROR(J468/每日收盤價!E467,0)</f>
        <v>0</v>
      </c>
      <c r="O467">
        <f t="shared" si="15"/>
        <v>0</v>
      </c>
    </row>
    <row r="468" spans="1:15">
      <c r="A468" s="9" t="s">
        <v>471</v>
      </c>
      <c r="B468">
        <f>B467*(1+$CD$2)*(1+每日報酬率!B468)</f>
        <v>0</v>
      </c>
      <c r="C468">
        <f>C467*(1+$CD$2)*(1+每日報酬率!C468)</f>
        <v>0.17867564571963265</v>
      </c>
      <c r="D468">
        <f>D467*(1+$CD$2)*(1+每日報酬率!D468)</f>
        <v>2.1124558437976466</v>
      </c>
      <c r="E468">
        <f>E467*(1+$CD$2)*(1+每日報酬率!E468)</f>
        <v>0.11512842715007668</v>
      </c>
      <c r="F468">
        <f t="shared" si="14"/>
        <v>2.4062599166673557</v>
      </c>
      <c r="K468" s="3">
        <f>IFERROR(G469/每日收盤價!B468,0)</f>
        <v>0</v>
      </c>
      <c r="L468" s="3">
        <f>IFERROR(H469/每日收盤價!C468,0)</f>
        <v>0</v>
      </c>
      <c r="M468" s="3">
        <f>IFERROR(I469/每日收盤價!D468,0)</f>
        <v>0</v>
      </c>
      <c r="N468" s="3">
        <f>IFERROR(J469/每日收盤價!E468,0)</f>
        <v>0</v>
      </c>
      <c r="O468">
        <f t="shared" si="15"/>
        <v>0</v>
      </c>
    </row>
    <row r="469" spans="1:15">
      <c r="A469" s="9" t="s">
        <v>472</v>
      </c>
      <c r="B469">
        <f>B468*(1+$CD$2)*(1+每日報酬率!B469)</f>
        <v>0</v>
      </c>
      <c r="C469">
        <f>C468*(1+$CD$2)*(1+每日報酬率!C469)</f>
        <v>0.17944913336344059</v>
      </c>
      <c r="D469">
        <f>D468*(1+$CD$2)*(1+每日報酬率!D469)</f>
        <v>2.1630969085462204</v>
      </c>
      <c r="E469">
        <f>E468*(1+$CD$2)*(1+每日報酬率!E469)</f>
        <v>0.11512842715007668</v>
      </c>
      <c r="F469">
        <f t="shared" si="14"/>
        <v>2.4576744690597376</v>
      </c>
      <c r="K469" s="3">
        <f>IFERROR(G470/每日收盤價!B469,0)</f>
        <v>0</v>
      </c>
      <c r="L469" s="3">
        <f>IFERROR(H470/每日收盤價!C469,0)</f>
        <v>0</v>
      </c>
      <c r="M469" s="3">
        <f>IFERROR(I470/每日收盤價!D469,0)</f>
        <v>0</v>
      </c>
      <c r="N469" s="3">
        <f>IFERROR(J470/每日收盤價!E469,0)</f>
        <v>0</v>
      </c>
      <c r="O469">
        <f t="shared" si="15"/>
        <v>0</v>
      </c>
    </row>
    <row r="470" spans="1:15">
      <c r="A470" s="9" t="s">
        <v>473</v>
      </c>
      <c r="B470">
        <f>B469*(1+$CD$2)*(1+每日報酬率!B470)</f>
        <v>0</v>
      </c>
      <c r="C470">
        <f>C469*(1+$CD$2)*(1+每日報酬率!C470)</f>
        <v>0.18176959629486442</v>
      </c>
      <c r="D470">
        <f>D469*(1+$CD$2)*(1+每日報酬率!D470)</f>
        <v>2.1413935950825458</v>
      </c>
      <c r="E470">
        <f>E469*(1+$CD$2)*(1+每日報酬率!E470)</f>
        <v>0.11512842715007668</v>
      </c>
      <c r="F470">
        <f t="shared" si="14"/>
        <v>2.4382916185274865</v>
      </c>
      <c r="K470" s="3">
        <f>IFERROR(G471/每日收盤價!B470,0)</f>
        <v>0</v>
      </c>
      <c r="L470" s="3">
        <f>IFERROR(H471/每日收盤價!C470,0)</f>
        <v>0</v>
      </c>
      <c r="M470" s="3">
        <f>IFERROR(I471/每日收盤價!D470,0)</f>
        <v>0</v>
      </c>
      <c r="N470" s="3">
        <f>IFERROR(J471/每日收盤價!E470,0)</f>
        <v>0</v>
      </c>
      <c r="O470">
        <f t="shared" si="15"/>
        <v>0</v>
      </c>
    </row>
    <row r="471" spans="1:15">
      <c r="A471" s="9" t="s">
        <v>474</v>
      </c>
      <c r="B471">
        <f>B470*(1+$CD$2)*(1+每日報酬率!B471)</f>
        <v>0</v>
      </c>
      <c r="C471">
        <f>C470*(1+$CD$2)*(1+每日報酬率!C471)</f>
        <v>0.18060936482915252</v>
      </c>
      <c r="D471">
        <f>D470*(1+$CD$2)*(1+每日報酬率!D471)</f>
        <v>2.17756578418867</v>
      </c>
      <c r="E471">
        <f>E470*(1+$CD$2)*(1+每日報酬率!E471)</f>
        <v>0.11512842715007668</v>
      </c>
      <c r="F471">
        <f t="shared" si="14"/>
        <v>2.4733035761678992</v>
      </c>
      <c r="K471" s="3">
        <f>IFERROR(G472/每日收盤價!B471,0)</f>
        <v>0</v>
      </c>
      <c r="L471" s="3">
        <f>IFERROR(H472/每日收盤價!C471,0)</f>
        <v>0</v>
      </c>
      <c r="M471" s="3">
        <f>IFERROR(I472/每日收盤價!D471,0)</f>
        <v>3.3222665647840537E-3</v>
      </c>
      <c r="N471" s="3">
        <f>IFERROR(J472/每日收盤價!E471,0)</f>
        <v>0</v>
      </c>
      <c r="O471">
        <f t="shared" si="15"/>
        <v>3.3222665647840537E-3</v>
      </c>
    </row>
    <row r="472" spans="1:15">
      <c r="A472" s="9" t="s">
        <v>475</v>
      </c>
      <c r="B472">
        <f>B471*(1+$CD$2)*(1+每日報酬率!B472)</f>
        <v>0</v>
      </c>
      <c r="C472">
        <f>C471*(1+$CD$2)*(1+每日報酬率!C472)</f>
        <v>0.174808207500593</v>
      </c>
      <c r="D472">
        <f>D471*(1+$CD$2)*(1+每日報酬率!D472)</f>
        <v>2.1269247194400962</v>
      </c>
      <c r="E472">
        <f>E471*(1+$CD$2)*(1+每日報酬率!E472)</f>
        <v>0.11512842715007668</v>
      </c>
      <c r="F472">
        <f t="shared" si="14"/>
        <v>2.4168613540907655</v>
      </c>
      <c r="I472" s="3">
        <v>5.0000111800000004</v>
      </c>
      <c r="K472" s="3">
        <f>IFERROR(G473/每日收盤價!B472,0)</f>
        <v>0</v>
      </c>
      <c r="L472" s="3">
        <f>IFERROR(H473/每日收盤價!C472,0)</f>
        <v>0</v>
      </c>
      <c r="M472" s="3">
        <f>IFERROR(I473/每日收盤價!D472,0)</f>
        <v>0</v>
      </c>
      <c r="N472" s="3">
        <f>IFERROR(J473/每日收盤價!E472,0)</f>
        <v>0</v>
      </c>
      <c r="O472">
        <f t="shared" si="15"/>
        <v>0</v>
      </c>
    </row>
    <row r="473" spans="1:15">
      <c r="A473" s="9" t="s">
        <v>476</v>
      </c>
      <c r="B473">
        <f>B472*(1+$CD$2)*(1+每日報酬率!B473)</f>
        <v>0</v>
      </c>
      <c r="C473">
        <f>C472*(1+$CD$2)*(1+每日報酬率!C473)</f>
        <v>0.17558169514440092</v>
      </c>
      <c r="D473">
        <f>D472*(1+$CD$2)*(1+每日報酬率!D473)</f>
        <v>2.1413935950825458</v>
      </c>
      <c r="E473">
        <f>E472*(1+$CD$2)*(1+每日報酬率!E473)</f>
        <v>0.11512842715007668</v>
      </c>
      <c r="F473">
        <f t="shared" si="14"/>
        <v>2.4321037173770232</v>
      </c>
      <c r="K473" s="3">
        <f>IFERROR(G474/每日收盤價!B473,0)</f>
        <v>0</v>
      </c>
      <c r="L473" s="3">
        <f>IFERROR(H474/每日收盤價!C473,0)</f>
        <v>0</v>
      </c>
      <c r="M473" s="3">
        <f>IFERROR(I474/每日收盤價!D473,0)</f>
        <v>0</v>
      </c>
      <c r="N473" s="3">
        <f>IFERROR(J474/每日收盤價!E473,0)</f>
        <v>0</v>
      </c>
      <c r="O473">
        <f t="shared" si="15"/>
        <v>0</v>
      </c>
    </row>
    <row r="474" spans="1:15">
      <c r="A474" s="9" t="s">
        <v>477</v>
      </c>
      <c r="B474">
        <f>B473*(1+$CD$2)*(1+每日報酬率!B474)</f>
        <v>0</v>
      </c>
      <c r="C474">
        <f>C473*(1+$CD$2)*(1+每日報酬率!C474)</f>
        <v>0.17132751310345729</v>
      </c>
      <c r="D474">
        <f>D473*(1+$CD$2)*(1+每日報酬率!D474)</f>
        <v>2.097986968155197</v>
      </c>
      <c r="E474">
        <f>E473*(1+$CD$2)*(1+每日報酬率!E474)</f>
        <v>0.11512842715007668</v>
      </c>
      <c r="F474">
        <f t="shared" si="14"/>
        <v>2.3844429084087309</v>
      </c>
      <c r="K474" s="3">
        <f>IFERROR(G475/每日收盤價!B474,0)</f>
        <v>0</v>
      </c>
      <c r="L474" s="3">
        <f>IFERROR(H475/每日收盤價!C474,0)</f>
        <v>0</v>
      </c>
      <c r="M474" s="3">
        <f>IFERROR(I475/每日收盤價!D474,0)</f>
        <v>0</v>
      </c>
      <c r="N474" s="3">
        <f>IFERROR(J475/每日收盤價!E474,0)</f>
        <v>0</v>
      </c>
      <c r="O474">
        <f t="shared" si="15"/>
        <v>0</v>
      </c>
    </row>
    <row r="475" spans="1:15">
      <c r="A475" s="9" t="s">
        <v>478</v>
      </c>
      <c r="B475">
        <f>B474*(1+$CD$2)*(1+每日報酬率!B475)</f>
        <v>0</v>
      </c>
      <c r="C475">
        <f>C474*(1+$CD$2)*(1+每日報酬率!C475)</f>
        <v>0.16862030635012951</v>
      </c>
      <c r="D475">
        <f>D474*(1+$CD$2)*(1+每日報酬率!D475)</f>
        <v>2.0762836546915224</v>
      </c>
      <c r="E475">
        <f>E474*(1+$CD$2)*(1+每日報酬率!E475)</f>
        <v>0.11512842715007668</v>
      </c>
      <c r="F475">
        <f t="shared" si="14"/>
        <v>2.3600323881917284</v>
      </c>
      <c r="K475" s="3">
        <f>IFERROR(G476/每日收盤價!B475,0)</f>
        <v>0</v>
      </c>
      <c r="L475" s="3">
        <f>IFERROR(H476/每日收盤價!C475,0)</f>
        <v>0</v>
      </c>
      <c r="M475" s="3">
        <f>IFERROR(I476/每日收盤價!D475,0)</f>
        <v>0</v>
      </c>
      <c r="N475" s="3">
        <f>IFERROR(J476/每日收盤價!E475,0)</f>
        <v>0</v>
      </c>
      <c r="O475">
        <f t="shared" si="15"/>
        <v>0</v>
      </c>
    </row>
    <row r="476" spans="1:15">
      <c r="A476" s="9" t="s">
        <v>479</v>
      </c>
      <c r="B476">
        <f>B475*(1+$CD$2)*(1+每日報酬率!B476)</f>
        <v>0</v>
      </c>
      <c r="C476">
        <f>C475*(1+$CD$2)*(1+每日報酬率!C476)</f>
        <v>0.16746007488441761</v>
      </c>
      <c r="D476">
        <f>D475*(1+$CD$2)*(1+每日報酬率!D476)</f>
        <v>2.0690492168702979</v>
      </c>
      <c r="E476">
        <f>E475*(1+$CD$2)*(1+每日報酬率!E476)</f>
        <v>0.11512842715007668</v>
      </c>
      <c r="F476">
        <f t="shared" si="14"/>
        <v>2.3516377189047919</v>
      </c>
      <c r="K476" s="3">
        <f>IFERROR(G477/每日收盤價!B476,0)</f>
        <v>0</v>
      </c>
      <c r="L476" s="3">
        <f>IFERROR(H477/每日收盤價!C476,0)</f>
        <v>0</v>
      </c>
      <c r="M476" s="3">
        <f>IFERROR(I477/每日收盤價!D476,0)</f>
        <v>0</v>
      </c>
      <c r="N476" s="3">
        <f>IFERROR(J477/每日收盤價!E476,0)</f>
        <v>0</v>
      </c>
      <c r="O476">
        <f t="shared" si="15"/>
        <v>0</v>
      </c>
    </row>
    <row r="477" spans="1:15">
      <c r="A477" s="9" t="s">
        <v>480</v>
      </c>
      <c r="B477">
        <f>B476*(1+$CD$2)*(1+每日報酬率!B477)</f>
        <v>0</v>
      </c>
      <c r="C477">
        <f>C476*(1+$CD$2)*(1+每日報酬率!C477)</f>
        <v>0.16707333106251365</v>
      </c>
      <c r="D477">
        <f>D476*(1+$CD$2)*(1+每日報酬率!D477)</f>
        <v>2.0690492168702979</v>
      </c>
      <c r="E477">
        <f>E476*(1+$CD$2)*(1+每日報酬率!E477)</f>
        <v>0.11512842715007668</v>
      </c>
      <c r="F477">
        <f t="shared" si="14"/>
        <v>2.3512509750828881</v>
      </c>
      <c r="K477" s="3">
        <f>IFERROR(G478/每日收盤價!B477,0)</f>
        <v>0</v>
      </c>
      <c r="L477" s="3">
        <f>IFERROR(H478/每日收盤價!C477,0)</f>
        <v>0</v>
      </c>
      <c r="M477" s="3">
        <f>IFERROR(I478/每日收盤價!D477,0)</f>
        <v>0</v>
      </c>
      <c r="N477" s="3">
        <f>IFERROR(J478/每日收盤價!E477,0)</f>
        <v>0</v>
      </c>
      <c r="O477">
        <f t="shared" si="15"/>
        <v>0</v>
      </c>
    </row>
    <row r="478" spans="1:15">
      <c r="A478" s="9" t="s">
        <v>481</v>
      </c>
      <c r="B478">
        <f>B477*(1+$CD$2)*(1+每日報酬率!B478)</f>
        <v>0</v>
      </c>
      <c r="C478">
        <f>C477*(1+$CD$2)*(1+每日報酬率!C478)</f>
        <v>0.17132751310345729</v>
      </c>
      <c r="D478">
        <f>D477*(1+$CD$2)*(1+每日報酬率!D478)</f>
        <v>2.0690492168702979</v>
      </c>
      <c r="E478">
        <f>E477*(1+$CD$2)*(1+每日報酬率!E478)</f>
        <v>0.11512842715007668</v>
      </c>
      <c r="F478">
        <f t="shared" si="14"/>
        <v>2.3555051571238317</v>
      </c>
      <c r="K478" s="3">
        <f>IFERROR(G479/每日收盤價!B478,0)</f>
        <v>0</v>
      </c>
      <c r="L478" s="3">
        <f>IFERROR(H479/每日收盤價!C478,0)</f>
        <v>0</v>
      </c>
      <c r="M478" s="3">
        <f>IFERROR(I479/每日收盤價!D478,0)</f>
        <v>0</v>
      </c>
      <c r="N478" s="3">
        <f>IFERROR(J479/每日收盤價!E478,0)</f>
        <v>0</v>
      </c>
      <c r="O478">
        <f t="shared" si="15"/>
        <v>0</v>
      </c>
    </row>
    <row r="479" spans="1:15">
      <c r="A479" s="9" t="s">
        <v>482</v>
      </c>
      <c r="B479">
        <f>B478*(1+$CD$2)*(1+每日報酬率!B479)</f>
        <v>0</v>
      </c>
      <c r="C479">
        <f>C478*(1+$CD$2)*(1+每日報酬率!C479)</f>
        <v>0.17326123221297712</v>
      </c>
      <c r="D479">
        <f>D478*(1+$CD$2)*(1+每日報酬率!D479)</f>
        <v>2.1196902816188716</v>
      </c>
      <c r="E479">
        <f>E478*(1+$CD$2)*(1+每日報酬率!E479)</f>
        <v>0.11512842715007668</v>
      </c>
      <c r="F479">
        <f t="shared" si="14"/>
        <v>2.4080799409819251</v>
      </c>
      <c r="K479" s="3">
        <f>IFERROR(G480/每日收盤價!B479,0)</f>
        <v>0</v>
      </c>
      <c r="L479" s="3">
        <f>IFERROR(H480/每日收盤價!C479,0)</f>
        <v>0</v>
      </c>
      <c r="M479" s="3">
        <f>IFERROR(I480/每日收盤價!D479,0)</f>
        <v>0</v>
      </c>
      <c r="N479" s="3">
        <f>IFERROR(J480/每日收盤價!E479,0)</f>
        <v>0</v>
      </c>
      <c r="O479">
        <f t="shared" si="15"/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FEFF-8466-4FAF-B505-6854F95700E5}">
  <sheetPr codeName="工作表5"/>
  <dimension ref="A1:F479"/>
  <sheetViews>
    <sheetView zoomScale="150" zoomScaleNormal="150" workbookViewId="0">
      <selection activeCell="E3" sqref="E3"/>
    </sheetView>
  </sheetViews>
  <sheetFormatPr baseColWidth="10" defaultColWidth="9" defaultRowHeight="14"/>
  <cols>
    <col min="1" max="1" width="11.19921875" bestFit="1" customWidth="1"/>
  </cols>
  <sheetData>
    <row r="1" spans="1:6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6">
      <c r="A2" t="s">
        <v>5</v>
      </c>
    </row>
    <row r="3" spans="1:6">
      <c r="A3" t="s">
        <v>6</v>
      </c>
      <c r="B3">
        <f>投資後權重!B3/投資後權重!$F3</f>
        <v>0</v>
      </c>
      <c r="C3">
        <f>投資後權重!C3/投資後權重!$F3</f>
        <v>8.0420933274956419E-2</v>
      </c>
      <c r="D3">
        <f>投資後權重!D3/投資後權重!$F3</f>
        <v>0.83896755632860265</v>
      </c>
      <c r="E3">
        <f>投資後權重!E3/投資後權重!$F3</f>
        <v>8.0611510396441058E-2</v>
      </c>
      <c r="F3">
        <f>SUM(B3:E3)</f>
        <v>1.0000000000000002</v>
      </c>
    </row>
    <row r="4" spans="1:6">
      <c r="A4" t="s">
        <v>7</v>
      </c>
      <c r="B4">
        <f>投資後權重!B4/投資後權重!$F4</f>
        <v>0</v>
      </c>
      <c r="C4">
        <f>投資後權重!C4/投資後權重!$F4</f>
        <v>8.093845734132224E-2</v>
      </c>
      <c r="D4">
        <f>投資後權重!D4/投資後權重!$F4</f>
        <v>0.83854325574616817</v>
      </c>
      <c r="E4">
        <f>投資後權重!E4/投資後權重!$F4</f>
        <v>8.0518286912509576E-2</v>
      </c>
      <c r="F4">
        <f t="shared" ref="F4:F67" si="0">SUM(B4:E4)</f>
        <v>1</v>
      </c>
    </row>
    <row r="5" spans="1:6">
      <c r="A5" t="s">
        <v>8</v>
      </c>
      <c r="B5">
        <f>投資後權重!B5/投資後權重!$F5</f>
        <v>0</v>
      </c>
      <c r="C5">
        <f>投資後權重!C5/投資後權重!$F5</f>
        <v>7.8353646073273608E-2</v>
      </c>
      <c r="D5">
        <f>投資後權重!D5/投資後權重!$F5</f>
        <v>0.8418663031334771</v>
      </c>
      <c r="E5">
        <f>投資後權重!E5/投資後權重!$F5</f>
        <v>7.9780050793249319E-2</v>
      </c>
      <c r="F5">
        <f t="shared" si="0"/>
        <v>1</v>
      </c>
    </row>
    <row r="6" spans="1:6">
      <c r="A6" t="s">
        <v>9</v>
      </c>
      <c r="B6">
        <f>投資後權重!B6/投資後權重!$F6</f>
        <v>0</v>
      </c>
      <c r="C6">
        <f>投資後權重!C6/投資後權重!$F6</f>
        <v>7.7607581179176655E-2</v>
      </c>
      <c r="D6">
        <f>投資後權重!D6/投資後權重!$F6</f>
        <v>0.84229028909020365</v>
      </c>
      <c r="E6">
        <f>投資後權重!E6/投資後權重!$F6</f>
        <v>8.0102129730619767E-2</v>
      </c>
      <c r="F6">
        <f t="shared" si="0"/>
        <v>1</v>
      </c>
    </row>
    <row r="7" spans="1:6">
      <c r="A7" t="s">
        <v>10</v>
      </c>
      <c r="B7">
        <f>投資後權重!B7/投資後權重!$F7</f>
        <v>0</v>
      </c>
      <c r="C7">
        <f>投資後權重!C7/投資後權重!$F7</f>
        <v>7.7146879631195403E-2</v>
      </c>
      <c r="D7">
        <f>投資後權重!D7/投資後權重!$F7</f>
        <v>0.84277688473657997</v>
      </c>
      <c r="E7">
        <f>投資後權重!E7/投資後權重!$F7</f>
        <v>8.0076235632224727E-2</v>
      </c>
      <c r="F7">
        <f t="shared" si="0"/>
        <v>1</v>
      </c>
    </row>
    <row r="8" spans="1:6">
      <c r="A8" t="s">
        <v>11</v>
      </c>
      <c r="B8">
        <f>投資後權重!B8/投資後權重!$F8</f>
        <v>0</v>
      </c>
      <c r="C8">
        <f>投資後權重!C8/投資後權重!$F8</f>
        <v>7.7306468933738437E-2</v>
      </c>
      <c r="D8">
        <f>投資後權重!D8/投資後權重!$F8</f>
        <v>0.84319649896843518</v>
      </c>
      <c r="E8">
        <f>投資後權重!E8/投資後權重!$F8</f>
        <v>7.9497032097826464E-2</v>
      </c>
      <c r="F8">
        <f t="shared" si="0"/>
        <v>1.0000000000000002</v>
      </c>
    </row>
    <row r="9" spans="1:6">
      <c r="A9" t="s">
        <v>12</v>
      </c>
      <c r="B9">
        <f>投資後權重!B9/投資後權重!$F9</f>
        <v>0</v>
      </c>
      <c r="C9">
        <f>投資後權重!C9/投資後權重!$F9</f>
        <v>7.7489292897537809E-2</v>
      </c>
      <c r="D9">
        <f>投資後權重!D9/投資後權重!$F9</f>
        <v>0.84230598550313884</v>
      </c>
      <c r="E9">
        <f>投資後權重!E9/投資後權重!$F9</f>
        <v>8.020472159932325E-2</v>
      </c>
      <c r="F9">
        <f t="shared" si="0"/>
        <v>0.99999999999999989</v>
      </c>
    </row>
    <row r="10" spans="1:6">
      <c r="A10" t="s">
        <v>13</v>
      </c>
      <c r="B10">
        <f>投資後權重!B10/投資後權重!$F10</f>
        <v>0</v>
      </c>
      <c r="C10">
        <f>投資後權重!C10/投資後權重!$F10</f>
        <v>7.6938154341354467E-2</v>
      </c>
      <c r="D10">
        <f>投資後權重!D10/投資後權重!$F10</f>
        <v>0.84337511710042223</v>
      </c>
      <c r="E10">
        <f>投資後權重!E10/投資後權重!$F10</f>
        <v>7.9686728558223216E-2</v>
      </c>
      <c r="F10">
        <f t="shared" si="0"/>
        <v>0.99999999999999989</v>
      </c>
    </row>
    <row r="11" spans="1:6">
      <c r="A11" t="s">
        <v>14</v>
      </c>
      <c r="B11">
        <f>投資後權重!B11/投資後權重!$F11</f>
        <v>0</v>
      </c>
      <c r="C11">
        <f>投資後權重!C11/投資後權重!$F11</f>
        <v>7.7791432964817789E-2</v>
      </c>
      <c r="D11">
        <f>投資後權重!D11/投資後權重!$F11</f>
        <v>0.84399751644814514</v>
      </c>
      <c r="E11">
        <f>投資後權重!E11/投資後權重!$F11</f>
        <v>7.8211050587037048E-2</v>
      </c>
      <c r="F11">
        <f t="shared" si="0"/>
        <v>1</v>
      </c>
    </row>
    <row r="12" spans="1:6">
      <c r="A12" t="s">
        <v>15</v>
      </c>
      <c r="B12">
        <f>投資後權重!B12/投資後權重!$F12</f>
        <v>0</v>
      </c>
      <c r="C12">
        <f>投資後權重!C12/投資後權重!$F12</f>
        <v>7.6781599061857483E-2</v>
      </c>
      <c r="D12">
        <f>投資後權重!D12/投資後權重!$F12</f>
        <v>0.8463261763953962</v>
      </c>
      <c r="E12">
        <f>投資後權重!E12/投資後權重!$F12</f>
        <v>7.6892224542746343E-2</v>
      </c>
      <c r="F12">
        <f t="shared" si="0"/>
        <v>1</v>
      </c>
    </row>
    <row r="13" spans="1:6">
      <c r="A13" t="s">
        <v>16</v>
      </c>
      <c r="B13">
        <f>投資後權重!B13/投資後權重!$F13</f>
        <v>0</v>
      </c>
      <c r="C13">
        <f>投資後權重!C13/投資後權重!$F13</f>
        <v>7.6811997197456086E-2</v>
      </c>
      <c r="D13">
        <f>投資後權重!D13/投資後權重!$F13</f>
        <v>0.84571162200440675</v>
      </c>
      <c r="E13">
        <f>投資後權重!E13/投資後權重!$F13</f>
        <v>7.747638079813704E-2</v>
      </c>
      <c r="F13">
        <f t="shared" si="0"/>
        <v>0.99999999999999989</v>
      </c>
    </row>
    <row r="14" spans="1:6">
      <c r="A14" t="s">
        <v>17</v>
      </c>
      <c r="B14">
        <f>投資後權重!B14/投資後權重!$F14</f>
        <v>0</v>
      </c>
      <c r="C14">
        <f>投資後權重!C14/投資後權重!$F14</f>
        <v>7.309916775112707E-2</v>
      </c>
      <c r="D14">
        <f>投資後權重!D14/投資後權重!$F14</f>
        <v>0.85173031980422009</v>
      </c>
      <c r="E14">
        <f>投資後權重!E14/投資後權重!$F14</f>
        <v>7.5170512444652823E-2</v>
      </c>
      <c r="F14">
        <f t="shared" si="0"/>
        <v>0.99999999999999989</v>
      </c>
    </row>
    <row r="15" spans="1:6">
      <c r="A15" t="s">
        <v>18</v>
      </c>
      <c r="B15">
        <f>投資後權重!B15/投資後權重!$F15</f>
        <v>0</v>
      </c>
      <c r="C15">
        <f>投資後權重!C15/投資後權重!$F15</f>
        <v>7.2682597069969851E-2</v>
      </c>
      <c r="D15">
        <f>投資後權重!D15/投資後權重!$F15</f>
        <v>0.85196290464146396</v>
      </c>
      <c r="E15">
        <f>投資後權重!E15/投資後權重!$F15</f>
        <v>7.5354498288566218E-2</v>
      </c>
      <c r="F15">
        <f t="shared" si="0"/>
        <v>1</v>
      </c>
    </row>
    <row r="16" spans="1:6">
      <c r="A16" t="s">
        <v>19</v>
      </c>
      <c r="B16">
        <f>投資後權重!B16/投資後權重!$F16</f>
        <v>0</v>
      </c>
      <c r="C16">
        <f>投資後權重!C16/投資後權重!$F16</f>
        <v>7.3290649051845624E-2</v>
      </c>
      <c r="D16">
        <f>投資後權重!D16/投資後權重!$F16</f>
        <v>0.85244867743242347</v>
      </c>
      <c r="E16">
        <f>投資後權重!E16/投資後權重!$F16</f>
        <v>7.4260673515730763E-2</v>
      </c>
      <c r="F16">
        <f t="shared" si="0"/>
        <v>0.99999999999999978</v>
      </c>
    </row>
    <row r="17" spans="1:6">
      <c r="A17" t="s">
        <v>20</v>
      </c>
      <c r="B17">
        <f>投資後權重!B17/投資後權重!$F17</f>
        <v>0</v>
      </c>
      <c r="C17">
        <f>投資後權重!C17/投資後權重!$F17</f>
        <v>7.2904665043486014E-2</v>
      </c>
      <c r="D17">
        <f>投資後權重!D17/投資後權重!$F17</f>
        <v>0.85082100191311105</v>
      </c>
      <c r="E17">
        <f>投資後權重!E17/投資後權重!$F17</f>
        <v>7.627433304340285E-2</v>
      </c>
      <c r="F17">
        <f t="shared" si="0"/>
        <v>0.99999999999999989</v>
      </c>
    </row>
    <row r="18" spans="1:6">
      <c r="A18" t="s">
        <v>21</v>
      </c>
      <c r="B18">
        <f>投資後權重!B18/投資後權重!$F18</f>
        <v>0</v>
      </c>
      <c r="C18">
        <f>投資後權重!C18/投資後權重!$F18</f>
        <v>7.2399064607900174E-2</v>
      </c>
      <c r="D18">
        <f>投資後權重!D18/投資後權重!$F18</f>
        <v>0.85241133287283199</v>
      </c>
      <c r="E18">
        <f>投資後權重!E18/投資後權重!$F18</f>
        <v>7.5189602519267776E-2</v>
      </c>
      <c r="F18">
        <f t="shared" si="0"/>
        <v>0.99999999999999989</v>
      </c>
    </row>
    <row r="19" spans="1:6">
      <c r="A19" t="s">
        <v>22</v>
      </c>
      <c r="B19">
        <f>投資後權重!B19/投資後權重!$F19</f>
        <v>0</v>
      </c>
      <c r="C19">
        <f>投資後權重!C19/投資後權重!$F19</f>
        <v>7.2575988015864359E-2</v>
      </c>
      <c r="D19">
        <f>投資後權重!D19/投資後權重!$F19</f>
        <v>0.85297511752440747</v>
      </c>
      <c r="E19">
        <f>投資後權重!E19/投資後權重!$F19</f>
        <v>7.4448894459728174E-2</v>
      </c>
      <c r="F19">
        <f t="shared" si="0"/>
        <v>1</v>
      </c>
    </row>
    <row r="20" spans="1:6">
      <c r="A20" t="s">
        <v>23</v>
      </c>
      <c r="B20">
        <f>投資後權重!B20/投資後權重!$F20</f>
        <v>0</v>
      </c>
      <c r="C20">
        <f>投資後權重!C20/投資後權重!$F20</f>
        <v>7.2182085974593066E-2</v>
      </c>
      <c r="D20">
        <f>投資後權重!D20/投資後權重!$F20</f>
        <v>0.85361487125699675</v>
      </c>
      <c r="E20">
        <f>投資後權重!E20/投資後權重!$F20</f>
        <v>7.4203042768410277E-2</v>
      </c>
      <c r="F20">
        <f t="shared" si="0"/>
        <v>1</v>
      </c>
    </row>
    <row r="21" spans="1:6">
      <c r="A21" t="s">
        <v>24</v>
      </c>
      <c r="B21">
        <f>投資後權重!B21/投資後權重!$F21</f>
        <v>0</v>
      </c>
      <c r="C21">
        <f>投資後權重!C21/投資後權重!$F21</f>
        <v>7.2283794411285782E-2</v>
      </c>
      <c r="D21">
        <f>投資後權重!D21/投資後權重!$F21</f>
        <v>0.85105416586426985</v>
      </c>
      <c r="E21">
        <f>投資後權重!E21/投資後權重!$F21</f>
        <v>7.6662039724444256E-2</v>
      </c>
      <c r="F21">
        <f t="shared" si="0"/>
        <v>0.99999999999999989</v>
      </c>
    </row>
    <row r="22" spans="1:6">
      <c r="A22" t="s">
        <v>25</v>
      </c>
      <c r="B22">
        <f>投資後權重!B22/投資後權重!$F22</f>
        <v>0</v>
      </c>
      <c r="C22">
        <f>投資後權重!C22/投資後權重!$F22</f>
        <v>7.396699247926905E-2</v>
      </c>
      <c r="D22">
        <f>投資後權重!D22/投資後權重!$F22</f>
        <v>0.84772529561645937</v>
      </c>
      <c r="E22">
        <f>投資後權重!E22/投資後權重!$F22</f>
        <v>7.8307711904271493E-2</v>
      </c>
      <c r="F22">
        <f t="shared" si="0"/>
        <v>1</v>
      </c>
    </row>
    <row r="23" spans="1:6">
      <c r="A23" t="s">
        <v>26</v>
      </c>
      <c r="B23">
        <f>投資後權重!B23/投資後權重!$F23</f>
        <v>0</v>
      </c>
      <c r="C23">
        <f>投資後權重!C23/投資後權重!$F23</f>
        <v>7.4518386749836907E-2</v>
      </c>
      <c r="D23">
        <f>投資後權重!D23/投資後權重!$F23</f>
        <v>0.84989889949471165</v>
      </c>
      <c r="E23">
        <f>投資後權重!E23/投資後權重!$F23</f>
        <v>7.5582713755451544E-2</v>
      </c>
      <c r="F23">
        <f t="shared" si="0"/>
        <v>1</v>
      </c>
    </row>
    <row r="24" spans="1:6">
      <c r="A24" t="s">
        <v>27</v>
      </c>
      <c r="B24">
        <f>投資後權重!B24/投資後權重!$F24</f>
        <v>0</v>
      </c>
      <c r="C24">
        <f>投資後權重!C24/投資後權重!$F24</f>
        <v>7.3119462843030461E-2</v>
      </c>
      <c r="D24">
        <f>投資後權重!D24/投資後權重!$F24</f>
        <v>0.85150646447676115</v>
      </c>
      <c r="E24">
        <f>投資後權重!E24/投資後權重!$F24</f>
        <v>7.5374072680208418E-2</v>
      </c>
      <c r="F24">
        <f t="shared" si="0"/>
        <v>1</v>
      </c>
    </row>
    <row r="25" spans="1:6">
      <c r="A25" t="s">
        <v>28</v>
      </c>
      <c r="B25">
        <f>投資後權重!B25/投資後權重!$F25</f>
        <v>0</v>
      </c>
      <c r="C25">
        <f>投資後權重!C25/投資後權重!$F25</f>
        <v>7.1723015248853536E-2</v>
      </c>
      <c r="D25">
        <f>投資後權重!D25/投資後權重!$F25</f>
        <v>0.85389882985703491</v>
      </c>
      <c r="E25">
        <f>投資後權重!E25/投資後權重!$F25</f>
        <v>7.4378154894111453E-2</v>
      </c>
      <c r="F25">
        <f t="shared" si="0"/>
        <v>0.99999999999999989</v>
      </c>
    </row>
    <row r="26" spans="1:6">
      <c r="A26" t="s">
        <v>29</v>
      </c>
      <c r="B26">
        <f>投資後權重!B26/投資後權重!$F26</f>
        <v>0</v>
      </c>
      <c r="C26">
        <f>投資後權重!C26/投資後權重!$F26</f>
        <v>6.6710753227489109E-2</v>
      </c>
      <c r="D26">
        <f>投資後權重!D26/投資後權重!$F26</f>
        <v>0.86116952406163483</v>
      </c>
      <c r="E26">
        <f>投資後權重!E26/投資後權重!$F26</f>
        <v>7.2119722710876105E-2</v>
      </c>
      <c r="F26">
        <f t="shared" si="0"/>
        <v>1</v>
      </c>
    </row>
    <row r="27" spans="1:6">
      <c r="A27" t="s">
        <v>30</v>
      </c>
      <c r="B27">
        <f>投資後權重!B27/投資後權重!$F27</f>
        <v>0</v>
      </c>
      <c r="C27">
        <f>投資後權重!C27/投資後權重!$F27</f>
        <v>6.8208437309671049E-2</v>
      </c>
      <c r="D27">
        <f>投資後權重!D27/投資後權重!$F27</f>
        <v>0.85856694639819231</v>
      </c>
      <c r="E27">
        <f>投資後權重!E27/投資後權重!$F27</f>
        <v>7.3224616292136599E-2</v>
      </c>
      <c r="F27">
        <f t="shared" si="0"/>
        <v>1</v>
      </c>
    </row>
    <row r="28" spans="1:6">
      <c r="A28" t="s">
        <v>31</v>
      </c>
      <c r="B28">
        <f>投資後權重!B28/投資後權重!$F28</f>
        <v>0</v>
      </c>
      <c r="C28">
        <f>投資後權重!C28/投資後權重!$F28</f>
        <v>6.9620639046195754E-2</v>
      </c>
      <c r="D28">
        <f>投資後權重!D28/投資後權重!$F28</f>
        <v>0.85725865417449676</v>
      </c>
      <c r="E28">
        <f>投資後權重!E28/投資後權重!$F28</f>
        <v>7.3120706779307348E-2</v>
      </c>
      <c r="F28">
        <f t="shared" si="0"/>
        <v>0.99999999999999989</v>
      </c>
    </row>
    <row r="29" spans="1:6">
      <c r="A29" t="s">
        <v>32</v>
      </c>
      <c r="B29">
        <f>投資後權重!B29/投資後權重!$F29</f>
        <v>0</v>
      </c>
      <c r="C29">
        <f>投資後權重!C29/投資後權重!$F29</f>
        <v>6.90498945328024E-2</v>
      </c>
      <c r="D29">
        <f>投資後權重!D29/投資後權重!$F29</f>
        <v>0.85735524768179738</v>
      </c>
      <c r="E29">
        <f>投資後權重!E29/投資後權重!$F29</f>
        <v>7.3594857785400369E-2</v>
      </c>
      <c r="F29">
        <f t="shared" si="0"/>
        <v>1.0000000000000002</v>
      </c>
    </row>
    <row r="30" spans="1:6">
      <c r="A30" t="s">
        <v>33</v>
      </c>
      <c r="B30">
        <f>投資後權重!B30/投資後權重!$F30</f>
        <v>0</v>
      </c>
      <c r="C30">
        <f>投資後權重!C30/投資後權重!$F30</f>
        <v>6.9263246094137393E-2</v>
      </c>
      <c r="D30">
        <f>投資後權重!D30/投資後權重!$F30</f>
        <v>0.85663168134307033</v>
      </c>
      <c r="E30">
        <f>投資後權重!E30/投資後權重!$F30</f>
        <v>7.4105072562792237E-2</v>
      </c>
      <c r="F30">
        <f t="shared" si="0"/>
        <v>0.99999999999999989</v>
      </c>
    </row>
    <row r="31" spans="1:6">
      <c r="A31" t="s">
        <v>34</v>
      </c>
      <c r="B31">
        <f>投資後權重!B31/投資後權重!$F31</f>
        <v>0</v>
      </c>
      <c r="C31">
        <f>投資後權重!C31/投資後權重!$F31</f>
        <v>6.8453459816963297E-2</v>
      </c>
      <c r="D31">
        <f>投資後權重!D31/投資後權重!$F31</f>
        <v>0.85613559074011858</v>
      </c>
      <c r="E31">
        <f>投資後權重!E31/投資後權重!$F31</f>
        <v>7.5410949442918096E-2</v>
      </c>
      <c r="F31">
        <f t="shared" si="0"/>
        <v>1</v>
      </c>
    </row>
    <row r="32" spans="1:6">
      <c r="A32" t="s">
        <v>35</v>
      </c>
      <c r="B32">
        <f>投資後權重!B32/投資後權重!$F32</f>
        <v>0</v>
      </c>
      <c r="C32">
        <f>投資後權重!C32/投資後權重!$F32</f>
        <v>6.7303650361505638E-2</v>
      </c>
      <c r="D32">
        <f>投資後權重!D32/投資後權重!$F32</f>
        <v>0.851952882701421</v>
      </c>
      <c r="E32">
        <f>投資後權重!E32/投資後權重!$F32</f>
        <v>8.0743466937073419E-2</v>
      </c>
      <c r="F32">
        <f t="shared" si="0"/>
        <v>1</v>
      </c>
    </row>
    <row r="33" spans="1:6">
      <c r="A33" t="s">
        <v>36</v>
      </c>
      <c r="B33">
        <f>投資後權重!B33/投資後權重!$F33</f>
        <v>0</v>
      </c>
      <c r="C33">
        <f>投資後權重!C33/投資後權重!$F33</f>
        <v>6.7451615065556816E-2</v>
      </c>
      <c r="D33">
        <f>投資後權重!D33/投資後權重!$F33</f>
        <v>0.8509201918047421</v>
      </c>
      <c r="E33">
        <f>投資後權重!E33/投資後權重!$F33</f>
        <v>8.1628193129701099E-2</v>
      </c>
      <c r="F33">
        <f t="shared" si="0"/>
        <v>1</v>
      </c>
    </row>
    <row r="34" spans="1:6">
      <c r="A34" t="s">
        <v>37</v>
      </c>
      <c r="B34">
        <f>投資後權重!B34/投資後權重!$F34</f>
        <v>0</v>
      </c>
      <c r="C34">
        <f>投資後權重!C34/投資後權重!$F34</f>
        <v>6.7451615065556816E-2</v>
      </c>
      <c r="D34">
        <f>投資後權重!D34/投資後權重!$F34</f>
        <v>0.8509201918047421</v>
      </c>
      <c r="E34">
        <f>投資後權重!E34/投資後權重!$F34</f>
        <v>8.1628193129701099E-2</v>
      </c>
      <c r="F34">
        <f t="shared" si="0"/>
        <v>1</v>
      </c>
    </row>
    <row r="35" spans="1:6">
      <c r="A35" t="s">
        <v>38</v>
      </c>
      <c r="B35">
        <f>投資後權重!B35/投資後權重!$F35</f>
        <v>0</v>
      </c>
      <c r="C35">
        <f>投資後權重!C35/投資後權重!$F35</f>
        <v>6.7684039549045394E-2</v>
      </c>
      <c r="D35">
        <f>投資後權重!D35/投資後權重!$F35</f>
        <v>0.84816342411530443</v>
      </c>
      <c r="E35">
        <f>投資後權重!E35/投資後權重!$F35</f>
        <v>8.4152536335650133E-2</v>
      </c>
      <c r="F35">
        <f t="shared" si="0"/>
        <v>1</v>
      </c>
    </row>
    <row r="36" spans="1:6">
      <c r="A36" t="s">
        <v>39</v>
      </c>
      <c r="B36">
        <f>投資後權重!B36/投資後權重!$F36</f>
        <v>0</v>
      </c>
      <c r="C36">
        <f>投資後權重!C36/投資後權重!$F36</f>
        <v>6.7327867134178321E-2</v>
      </c>
      <c r="D36">
        <f>投資後權重!D36/投資後權重!$F36</f>
        <v>0.85073697857555797</v>
      </c>
      <c r="E36">
        <f>投資後權重!E36/投資後權重!$F36</f>
        <v>8.1935154290263601E-2</v>
      </c>
      <c r="F36">
        <f t="shared" si="0"/>
        <v>0.99999999999999978</v>
      </c>
    </row>
    <row r="37" spans="1:6">
      <c r="A37" t="s">
        <v>40</v>
      </c>
      <c r="B37">
        <f>投資後權重!B37/投資後權重!$F37</f>
        <v>0</v>
      </c>
      <c r="C37">
        <f>投資後權重!C37/投資後權重!$F37</f>
        <v>6.6902397618244222E-2</v>
      </c>
      <c r="D37">
        <f>投資後權重!D37/投資後權重!$F37</f>
        <v>0.85194485494317396</v>
      </c>
      <c r="E37">
        <f>投資後權重!E37/投資後權重!$F37</f>
        <v>8.1152747438581821E-2</v>
      </c>
      <c r="F37">
        <f t="shared" si="0"/>
        <v>1</v>
      </c>
    </row>
    <row r="38" spans="1:6">
      <c r="A38" t="s">
        <v>41</v>
      </c>
      <c r="B38">
        <f>投資後權重!B38/投資後權重!$F38</f>
        <v>0</v>
      </c>
      <c r="C38">
        <f>投資後權重!C38/投資後權重!$F38</f>
        <v>6.6488287302596316E-2</v>
      </c>
      <c r="D38">
        <f>投資後權重!D38/投資後權重!$F38</f>
        <v>0.85251062788606824</v>
      </c>
      <c r="E38">
        <f>投資後權重!E38/投資後權重!$F38</f>
        <v>8.1001084811335361E-2</v>
      </c>
      <c r="F38">
        <f t="shared" si="0"/>
        <v>1</v>
      </c>
    </row>
    <row r="39" spans="1:6">
      <c r="A39" t="s">
        <v>42</v>
      </c>
      <c r="B39">
        <f>投資後權重!B39/投資後權重!$F39</f>
        <v>0</v>
      </c>
      <c r="C39">
        <f>投資後權重!C39/投資後權重!$F39</f>
        <v>6.5941389711947906E-2</v>
      </c>
      <c r="D39">
        <f>投資後權重!D39/投資後權重!$F39</f>
        <v>0.85128940942611686</v>
      </c>
      <c r="E39">
        <f>投資後權重!E39/投資後權重!$F39</f>
        <v>8.2769200861935219E-2</v>
      </c>
      <c r="F39">
        <f t="shared" si="0"/>
        <v>1</v>
      </c>
    </row>
    <row r="40" spans="1:6">
      <c r="A40" t="s">
        <v>43</v>
      </c>
      <c r="B40">
        <f>投資後權重!B40/投資後權重!$F40</f>
        <v>0</v>
      </c>
      <c r="C40">
        <f>投資後權重!C40/投資後權重!$F40</f>
        <v>6.4474376531421226E-2</v>
      </c>
      <c r="D40">
        <f>投資後權重!D40/投資後權重!$F40</f>
        <v>0.85265566690248773</v>
      </c>
      <c r="E40">
        <f>投資後權重!E40/投資後權重!$F40</f>
        <v>8.2869956566091113E-2</v>
      </c>
      <c r="F40">
        <f t="shared" si="0"/>
        <v>1</v>
      </c>
    </row>
    <row r="41" spans="1:6">
      <c r="A41" t="s">
        <v>44</v>
      </c>
      <c r="B41">
        <f>投資後權重!B41/投資後權重!$F41</f>
        <v>0</v>
      </c>
      <c r="C41">
        <f>投資後權重!C41/投資後權重!$F41</f>
        <v>6.1413439652413346E-2</v>
      </c>
      <c r="D41">
        <f>投資後權重!D41/投資後權重!$F41</f>
        <v>0.85777145427434653</v>
      </c>
      <c r="E41">
        <f>投資後權重!E41/投資後權重!$F41</f>
        <v>8.0815106073240286E-2</v>
      </c>
      <c r="F41">
        <f t="shared" si="0"/>
        <v>1.0000000000000002</v>
      </c>
    </row>
    <row r="42" spans="1:6">
      <c r="A42" t="s">
        <v>45</v>
      </c>
      <c r="B42">
        <f>投資後權重!B42/投資後權重!$F42</f>
        <v>0</v>
      </c>
      <c r="C42">
        <f>投資後權重!C42/投資後權重!$F42</f>
        <v>6.5178921591894118E-2</v>
      </c>
      <c r="D42">
        <f>投資後權重!D42/投資後權重!$F42</f>
        <v>0.85291003597070825</v>
      </c>
      <c r="E42">
        <f>投資後權重!E42/投資後權重!$F42</f>
        <v>8.1911042437397608E-2</v>
      </c>
      <c r="F42">
        <f t="shared" si="0"/>
        <v>1</v>
      </c>
    </row>
    <row r="43" spans="1:6">
      <c r="A43" t="s">
        <v>46</v>
      </c>
      <c r="B43">
        <f>投資後權重!B43/投資後權重!$F43</f>
        <v>0</v>
      </c>
      <c r="C43">
        <f>投資後權重!C43/投資後權重!$F43</f>
        <v>7.0171298987499381E-2</v>
      </c>
      <c r="D43">
        <f>投資後權重!D43/投資後權重!$F43</f>
        <v>0.84934607365502413</v>
      </c>
      <c r="E43">
        <f>投資後權重!E43/投資後權重!$F43</f>
        <v>8.0482627357476549E-2</v>
      </c>
      <c r="F43">
        <f t="shared" si="0"/>
        <v>1</v>
      </c>
    </row>
    <row r="44" spans="1:6">
      <c r="A44" t="s">
        <v>47</v>
      </c>
      <c r="B44">
        <f>投資後權重!B44/投資後權重!$F44</f>
        <v>0</v>
      </c>
      <c r="C44">
        <f>投資後權重!C44/投資後權重!$F44</f>
        <v>7.0295777862086267E-2</v>
      </c>
      <c r="D44">
        <f>投資後權重!D44/投資後權重!$F44</f>
        <v>0.85008246000265719</v>
      </c>
      <c r="E44">
        <f>投資後權重!E44/投資後權重!$F44</f>
        <v>7.9621762135256638E-2</v>
      </c>
      <c r="F44">
        <f t="shared" si="0"/>
        <v>1.0000000000000002</v>
      </c>
    </row>
    <row r="45" spans="1:6">
      <c r="A45" t="s">
        <v>48</v>
      </c>
      <c r="B45">
        <f>投資後權重!B45/投資後權重!$F45</f>
        <v>0</v>
      </c>
      <c r="C45">
        <f>投資後權重!C45/投資後權重!$F45</f>
        <v>7.0482560630443378E-2</v>
      </c>
      <c r="D45">
        <f>投資後權重!D45/投資後權重!$F45</f>
        <v>0.85426727437973082</v>
      </c>
      <c r="E45">
        <f>投資後權重!E45/投資後權重!$F45</f>
        <v>7.5250164989825882E-2</v>
      </c>
      <c r="F45">
        <f t="shared" si="0"/>
        <v>1</v>
      </c>
    </row>
    <row r="46" spans="1:6">
      <c r="A46" t="s">
        <v>49</v>
      </c>
      <c r="B46">
        <f>投資後權重!B46/投資後權重!$F46</f>
        <v>0</v>
      </c>
      <c r="C46">
        <f>投資後權重!C46/投資後權重!$F46</f>
        <v>7.9133699919529191E-2</v>
      </c>
      <c r="D46">
        <f>投資後權重!D46/投資後權重!$F46</f>
        <v>0.8444305177616579</v>
      </c>
      <c r="E46">
        <f>投資後權重!E46/投資後權重!$F46</f>
        <v>7.643578231881297E-2</v>
      </c>
      <c r="F46">
        <f t="shared" si="0"/>
        <v>1</v>
      </c>
    </row>
    <row r="47" spans="1:6">
      <c r="A47" t="s">
        <v>50</v>
      </c>
      <c r="B47">
        <f>投資後權重!B47/投資後權重!$F47</f>
        <v>0</v>
      </c>
      <c r="C47">
        <f>投資後權重!C47/投資後權重!$F47</f>
        <v>8.0161673332111147E-2</v>
      </c>
      <c r="D47">
        <f>投資後權重!D47/投資後權重!$F47</f>
        <v>0.84236948889663688</v>
      </c>
      <c r="E47">
        <f>投資後權重!E47/投資後權重!$F47</f>
        <v>7.7468837771252047E-2</v>
      </c>
      <c r="F47">
        <f t="shared" si="0"/>
        <v>1</v>
      </c>
    </row>
    <row r="48" spans="1:6">
      <c r="A48" t="s">
        <v>51</v>
      </c>
      <c r="B48">
        <f>投資後權重!B48/投資後權重!$F48</f>
        <v>0</v>
      </c>
      <c r="C48">
        <f>投資後權重!C48/投資後權重!$F48</f>
        <v>8.0445598782003275E-2</v>
      </c>
      <c r="D48">
        <f>投資後權重!D48/投資後權重!$F48</f>
        <v>0.84314011980324621</v>
      </c>
      <c r="E48">
        <f>投資後權重!E48/投資後權重!$F48</f>
        <v>7.6414281414750554E-2</v>
      </c>
      <c r="F48">
        <f t="shared" si="0"/>
        <v>1</v>
      </c>
    </row>
    <row r="49" spans="1:6">
      <c r="A49" t="s">
        <v>52</v>
      </c>
      <c r="B49">
        <f>投資後權重!B49/投資後權重!$F49</f>
        <v>0</v>
      </c>
      <c r="C49">
        <f>投資後權重!C49/投資後權重!$F49</f>
        <v>8.2003530371686256E-2</v>
      </c>
      <c r="D49">
        <f>投資後權重!D49/投資後權重!$F49</f>
        <v>0.84256627649088534</v>
      </c>
      <c r="E49">
        <f>投資後權重!E49/投資後權重!$F49</f>
        <v>7.5430193137428575E-2</v>
      </c>
      <c r="F49">
        <f t="shared" si="0"/>
        <v>1.0000000000000002</v>
      </c>
    </row>
    <row r="50" spans="1:6">
      <c r="A50" t="s">
        <v>53</v>
      </c>
      <c r="B50">
        <f>投資後權重!B50/投資後權重!$F50</f>
        <v>0</v>
      </c>
      <c r="C50">
        <f>投資後權重!C50/投資後權重!$F50</f>
        <v>8.2032642215713783E-2</v>
      </c>
      <c r="D50">
        <f>投資後權重!D50/投資後權重!$F50</f>
        <v>0.8442465644878967</v>
      </c>
      <c r="E50">
        <f>投資後權重!E50/投資後權重!$F50</f>
        <v>7.3720793296389586E-2</v>
      </c>
      <c r="F50">
        <f t="shared" si="0"/>
        <v>1</v>
      </c>
    </row>
    <row r="51" spans="1:6">
      <c r="A51" t="s">
        <v>54</v>
      </c>
      <c r="B51">
        <f>投資後權重!B51/投資後權重!$F51</f>
        <v>0</v>
      </c>
      <c r="C51">
        <f>投資後權重!C51/投資後權重!$F51</f>
        <v>8.360632478242179E-2</v>
      </c>
      <c r="D51">
        <f>投資後權重!D51/投資後權重!$F51</f>
        <v>0.84377606127479299</v>
      </c>
      <c r="E51">
        <f>投資後權重!E51/投資後權重!$F51</f>
        <v>7.2617613942785084E-2</v>
      </c>
      <c r="F51">
        <f t="shared" si="0"/>
        <v>0.99999999999999989</v>
      </c>
    </row>
    <row r="52" spans="1:6">
      <c r="A52" t="s">
        <v>55</v>
      </c>
      <c r="B52">
        <f>投資後權重!B52/投資後權重!$F52</f>
        <v>0</v>
      </c>
      <c r="C52">
        <f>投資後權重!C52/投資後權重!$F52</f>
        <v>8.4085368778654468E-2</v>
      </c>
      <c r="D52">
        <f>投資後權重!D52/投資後權重!$F52</f>
        <v>0.84320553013586286</v>
      </c>
      <c r="E52">
        <f>投資後權重!E52/投資後權重!$F52</f>
        <v>7.2709101085482647E-2</v>
      </c>
      <c r="F52">
        <f t="shared" si="0"/>
        <v>1</v>
      </c>
    </row>
    <row r="53" spans="1:6">
      <c r="A53" t="s">
        <v>56</v>
      </c>
      <c r="B53">
        <f>投資後權重!B53/投資後權重!$F53</f>
        <v>0</v>
      </c>
      <c r="C53">
        <f>投資後權重!C53/投資後權重!$F53</f>
        <v>8.1998034522804242E-2</v>
      </c>
      <c r="D53">
        <f>投資後權重!D53/投資後權重!$F53</f>
        <v>0.84470147941570828</v>
      </c>
      <c r="E53">
        <f>投資後權重!E53/投資後權重!$F53</f>
        <v>7.3300486061487535E-2</v>
      </c>
      <c r="F53">
        <f t="shared" si="0"/>
        <v>1</v>
      </c>
    </row>
    <row r="54" spans="1:6">
      <c r="A54" t="s">
        <v>57</v>
      </c>
      <c r="B54">
        <f>投資後權重!B54/投資後權重!$F54</f>
        <v>0</v>
      </c>
      <c r="C54">
        <f>投資後權重!C54/投資後權重!$F54</f>
        <v>8.5513459708002282E-2</v>
      </c>
      <c r="D54">
        <f>投資後權重!D54/投資後權重!$F54</f>
        <v>0.83912543455108057</v>
      </c>
      <c r="E54">
        <f>投資後權重!E54/投資後權重!$F54</f>
        <v>7.5361105740917228E-2</v>
      </c>
      <c r="F54">
        <f t="shared" si="0"/>
        <v>1</v>
      </c>
    </row>
    <row r="55" spans="1:6">
      <c r="A55" t="s">
        <v>58</v>
      </c>
      <c r="B55">
        <f>投資後權重!B55/投資後權重!$F55</f>
        <v>0</v>
      </c>
      <c r="C55">
        <f>投資後權重!C55/投資後權重!$F55</f>
        <v>9.0181468781860466E-2</v>
      </c>
      <c r="D55">
        <f>投資後權重!D55/投資後權重!$F55</f>
        <v>0.83424700153884424</v>
      </c>
      <c r="E55">
        <f>投資後權重!E55/投資後權重!$F55</f>
        <v>7.5571529679295216E-2</v>
      </c>
      <c r="F55">
        <f t="shared" si="0"/>
        <v>1</v>
      </c>
    </row>
    <row r="56" spans="1:6">
      <c r="A56" t="s">
        <v>59</v>
      </c>
      <c r="B56">
        <f>投資後權重!B56/投資後權重!$F56</f>
        <v>0</v>
      </c>
      <c r="C56">
        <f>投資後權重!C56/投資後權重!$F56</f>
        <v>8.6135673004557559E-2</v>
      </c>
      <c r="D56">
        <f>投資後權重!D56/投資後權重!$F56</f>
        <v>0.83677877078337881</v>
      </c>
      <c r="E56">
        <f>投資後權重!E56/投資後權重!$F56</f>
        <v>7.7085556212063491E-2</v>
      </c>
      <c r="F56">
        <f t="shared" si="0"/>
        <v>0.99999999999999989</v>
      </c>
    </row>
    <row r="57" spans="1:6">
      <c r="A57" t="s">
        <v>60</v>
      </c>
      <c r="B57">
        <f>投資後權重!B57/投資後權重!$F57</f>
        <v>0</v>
      </c>
      <c r="C57">
        <f>投資後權重!C57/投資後權重!$F57</f>
        <v>8.7440436921497777E-2</v>
      </c>
      <c r="D57">
        <f>投資後權重!D57/投資後權重!$F57</f>
        <v>0.8368506308382555</v>
      </c>
      <c r="E57">
        <f>投資後權重!E57/投資後權重!$F57</f>
        <v>7.5708932240246732E-2</v>
      </c>
      <c r="F57">
        <f t="shared" si="0"/>
        <v>1</v>
      </c>
    </row>
    <row r="58" spans="1:6">
      <c r="A58" t="s">
        <v>61</v>
      </c>
      <c r="B58">
        <f>投資後權重!B58/投資後權重!$F58</f>
        <v>0</v>
      </c>
      <c r="C58">
        <f>投資後權重!C58/投資後權重!$F58</f>
        <v>8.9950170100672591E-2</v>
      </c>
      <c r="D58">
        <f>投資後權重!D58/投資後權重!$F58</f>
        <v>0.83601363281628005</v>
      </c>
      <c r="E58">
        <f>投資後權重!E58/投資後權重!$F58</f>
        <v>7.4036197083047317E-2</v>
      </c>
      <c r="F58">
        <f t="shared" si="0"/>
        <v>1</v>
      </c>
    </row>
    <row r="59" spans="1:6">
      <c r="A59" t="s">
        <v>62</v>
      </c>
      <c r="B59">
        <f>投資後權重!B59/投資後權重!$F59</f>
        <v>0</v>
      </c>
      <c r="C59">
        <f>投資後權重!C59/投資後權重!$F59</f>
        <v>9.0941450367805821E-2</v>
      </c>
      <c r="D59">
        <f>投資後權重!D59/投資後權重!$F59</f>
        <v>0.83452770311359425</v>
      </c>
      <c r="E59">
        <f>投資後權重!E59/投資後權重!$F59</f>
        <v>7.4530846518599869E-2</v>
      </c>
      <c r="F59">
        <f t="shared" si="0"/>
        <v>1</v>
      </c>
    </row>
    <row r="60" spans="1:6">
      <c r="A60" t="s">
        <v>63</v>
      </c>
      <c r="B60">
        <f>投資後權重!B60/投資後權重!$F60</f>
        <v>0</v>
      </c>
      <c r="C60">
        <f>投資後權重!C60/投資後權重!$F60</f>
        <v>9.0189540354252265E-2</v>
      </c>
      <c r="D60">
        <f>投資後權重!D60/投資後權重!$F60</f>
        <v>0.83606925299720869</v>
      </c>
      <c r="E60">
        <f>投資後權重!E60/投資後權重!$F60</f>
        <v>7.374120664853917E-2</v>
      </c>
      <c r="F60">
        <f t="shared" si="0"/>
        <v>1.0000000000000002</v>
      </c>
    </row>
    <row r="61" spans="1:6">
      <c r="A61" t="s">
        <v>64</v>
      </c>
      <c r="B61">
        <f>投資後權重!B61/投資後權重!$F61</f>
        <v>0</v>
      </c>
      <c r="C61">
        <f>投資後權重!C61/投資後權重!$F61</f>
        <v>8.6797394578070564E-2</v>
      </c>
      <c r="D61">
        <f>投資後權重!D61/投資後權重!$F61</f>
        <v>0.84161779088101296</v>
      </c>
      <c r="E61">
        <f>投資後權重!E61/投資後權重!$F61</f>
        <v>7.1584814540916503E-2</v>
      </c>
      <c r="F61">
        <f t="shared" si="0"/>
        <v>1</v>
      </c>
    </row>
    <row r="62" spans="1:6">
      <c r="A62" t="s">
        <v>65</v>
      </c>
      <c r="B62">
        <f>投資後權重!B62/投資後權重!$F62</f>
        <v>0</v>
      </c>
      <c r="C62">
        <f>投資後權重!C62/投資後權重!$F62</f>
        <v>8.5204691312343747E-2</v>
      </c>
      <c r="D62">
        <f>投資後權重!D62/投資後權重!$F62</f>
        <v>0.84076386106189271</v>
      </c>
      <c r="E62">
        <f>投資後權重!E62/投資後權重!$F62</f>
        <v>7.4031447625763441E-2</v>
      </c>
      <c r="F62">
        <f t="shared" si="0"/>
        <v>0.99999999999999989</v>
      </c>
    </row>
    <row r="63" spans="1:6">
      <c r="A63" t="s">
        <v>66</v>
      </c>
      <c r="B63">
        <f>投資後權重!B63/投資後權重!$F63</f>
        <v>0</v>
      </c>
      <c r="C63">
        <f>投資後權重!C63/投資後權重!$F63</f>
        <v>8.247671545341656E-2</v>
      </c>
      <c r="D63">
        <f>投資後權重!D63/投資後權重!$F63</f>
        <v>0.84340341314566247</v>
      </c>
      <c r="E63">
        <f>投資後權重!E63/投資後權重!$F63</f>
        <v>7.4119871400920925E-2</v>
      </c>
      <c r="F63">
        <f t="shared" si="0"/>
        <v>0.99999999999999989</v>
      </c>
    </row>
    <row r="64" spans="1:6">
      <c r="A64" t="s">
        <v>67</v>
      </c>
      <c r="B64">
        <f>投資後權重!B64/投資後權重!$F64</f>
        <v>0</v>
      </c>
      <c r="C64">
        <f>投資後權重!C64/投資後權重!$F64</f>
        <v>8.3002095857444586E-2</v>
      </c>
      <c r="D64">
        <f>投資後權重!D64/投資後權重!$F64</f>
        <v>0.84389276989813988</v>
      </c>
      <c r="E64">
        <f>投資後權重!E64/投資後權重!$F64</f>
        <v>7.3105134244415657E-2</v>
      </c>
      <c r="F64">
        <f t="shared" si="0"/>
        <v>1</v>
      </c>
    </row>
    <row r="65" spans="1:6">
      <c r="A65" t="s">
        <v>68</v>
      </c>
      <c r="B65">
        <f>投資後權重!B65/投資後權重!$F65</f>
        <v>0</v>
      </c>
      <c r="C65">
        <f>投資後權重!C65/投資後權重!$F65</f>
        <v>8.2096424003920518E-2</v>
      </c>
      <c r="D65">
        <f>投資後權重!D65/投資後權重!$F65</f>
        <v>0.84778910266386021</v>
      </c>
      <c r="E65">
        <f>投資後權重!E65/投資後權重!$F65</f>
        <v>7.0114473332219276E-2</v>
      </c>
      <c r="F65">
        <f t="shared" si="0"/>
        <v>1</v>
      </c>
    </row>
    <row r="66" spans="1:6">
      <c r="A66" t="s">
        <v>69</v>
      </c>
      <c r="B66">
        <f>投資後權重!B66/投資後權重!$F66</f>
        <v>0</v>
      </c>
      <c r="C66">
        <f>投資後權重!C66/投資後權重!$F66</f>
        <v>8.1336111301177239E-2</v>
      </c>
      <c r="D66">
        <f>投資後權重!D66/投資後權重!$F66</f>
        <v>0.85029947955424623</v>
      </c>
      <c r="E66">
        <f>投資後權重!E66/投資後權重!$F66</f>
        <v>6.8364409144576477E-2</v>
      </c>
      <c r="F66">
        <f t="shared" si="0"/>
        <v>1</v>
      </c>
    </row>
    <row r="67" spans="1:6">
      <c r="A67" t="s">
        <v>70</v>
      </c>
      <c r="B67">
        <f>投資後權重!B67/投資後權重!$F67</f>
        <v>0</v>
      </c>
      <c r="C67">
        <f>投資後權重!C67/投資後權重!$F67</f>
        <v>8.2842531042501791E-2</v>
      </c>
      <c r="D67">
        <f>投資後權重!D67/投資後權重!$F67</f>
        <v>0.85045861889777186</v>
      </c>
      <c r="E67">
        <f>投資後權重!E67/投資後權重!$F67</f>
        <v>6.6698850059726339E-2</v>
      </c>
      <c r="F67">
        <f t="shared" si="0"/>
        <v>1</v>
      </c>
    </row>
    <row r="68" spans="1:6">
      <c r="A68" t="s">
        <v>71</v>
      </c>
      <c r="B68">
        <f>投資後權重!B68/投資後權重!$F68</f>
        <v>0</v>
      </c>
      <c r="C68">
        <f>投資後權重!C68/投資後權重!$F68</f>
        <v>8.3619820327292954E-2</v>
      </c>
      <c r="D68">
        <f>投資後權重!D68/投資後權重!$F68</f>
        <v>0.84973785676694735</v>
      </c>
      <c r="E68">
        <f>投資後權重!E68/投資後權重!$F68</f>
        <v>6.6642322905759818E-2</v>
      </c>
      <c r="F68">
        <f t="shared" ref="F68:F131" si="1">SUM(B68:E68)</f>
        <v>1.0000000000000002</v>
      </c>
    </row>
    <row r="69" spans="1:6">
      <c r="A69" t="s">
        <v>72</v>
      </c>
      <c r="B69">
        <f>投資後權重!B69/投資後權重!$F69</f>
        <v>0</v>
      </c>
      <c r="C69">
        <f>投資後權重!C69/投資後權重!$F69</f>
        <v>8.6274523937999406E-2</v>
      </c>
      <c r="D69">
        <f>投資後權重!D69/投資後權重!$F69</f>
        <v>0.84642640100723654</v>
      </c>
      <c r="E69">
        <f>投資後權重!E69/投資後權重!$F69</f>
        <v>6.7299075054764082E-2</v>
      </c>
      <c r="F69">
        <f t="shared" si="1"/>
        <v>1</v>
      </c>
    </row>
    <row r="70" spans="1:6">
      <c r="A70" t="s">
        <v>73</v>
      </c>
      <c r="B70">
        <f>投資後權重!B70/投資後權重!$F70</f>
        <v>0</v>
      </c>
      <c r="C70">
        <f>投資後權重!C70/投資後權重!$F70</f>
        <v>8.7221613944986537E-2</v>
      </c>
      <c r="D70">
        <f>投資後權重!D70/投資後權重!$F70</f>
        <v>0.84659049850742363</v>
      </c>
      <c r="E70">
        <f>投資後權重!E70/投資後權重!$F70</f>
        <v>6.6187887547589849E-2</v>
      </c>
      <c r="F70">
        <f t="shared" si="1"/>
        <v>1</v>
      </c>
    </row>
    <row r="71" spans="1:6">
      <c r="A71" t="s">
        <v>74</v>
      </c>
      <c r="B71">
        <f>投資後權重!B71/投資後權重!$F71</f>
        <v>0</v>
      </c>
      <c r="C71">
        <f>投資後權重!C71/投資後權重!$F71</f>
        <v>8.6558066562494193E-2</v>
      </c>
      <c r="D71">
        <f>投資後權重!D71/投資後權重!$F71</f>
        <v>0.84780857421057765</v>
      </c>
      <c r="E71">
        <f>投資後權重!E71/投資後權重!$F71</f>
        <v>6.5633359226928215E-2</v>
      </c>
      <c r="F71">
        <f t="shared" si="1"/>
        <v>1</v>
      </c>
    </row>
    <row r="72" spans="1:6">
      <c r="A72" t="s">
        <v>75</v>
      </c>
      <c r="B72">
        <f>投資後權重!B72/投資後權重!$F72</f>
        <v>0</v>
      </c>
      <c r="C72">
        <f>投資後權重!C72/投資後權重!$F72</f>
        <v>8.9958172064491845E-2</v>
      </c>
      <c r="D72">
        <f>投資後權重!D72/投資後權重!$F72</f>
        <v>0.84461577656191444</v>
      </c>
      <c r="E72">
        <f>投資後權重!E72/投資後權重!$F72</f>
        <v>6.5426051373593752E-2</v>
      </c>
      <c r="F72">
        <f t="shared" si="1"/>
        <v>1</v>
      </c>
    </row>
    <row r="73" spans="1:6">
      <c r="A73" t="s">
        <v>76</v>
      </c>
      <c r="B73">
        <f>投資後權重!B73/投資後權重!$F73</f>
        <v>0</v>
      </c>
      <c r="C73">
        <f>投資後權重!C73/投資後權重!$F73</f>
        <v>8.9402612806525034E-2</v>
      </c>
      <c r="D73">
        <f>投資後權重!D73/投資後權重!$F73</f>
        <v>0.84556646709967198</v>
      </c>
      <c r="E73">
        <f>投資後權重!E73/投資後權重!$F73</f>
        <v>6.5030920093803096E-2</v>
      </c>
      <c r="F73">
        <f t="shared" si="1"/>
        <v>1.0000000000000002</v>
      </c>
    </row>
    <row r="74" spans="1:6">
      <c r="A74" t="s">
        <v>77</v>
      </c>
      <c r="B74">
        <f>投資後權重!B74/投資後權重!$F74</f>
        <v>0</v>
      </c>
      <c r="C74">
        <f>投資後權重!C74/投資後權重!$F74</f>
        <v>8.9558775266003698E-2</v>
      </c>
      <c r="D74">
        <f>投資後權重!D74/投資後權重!$F74</f>
        <v>0.84520995648479647</v>
      </c>
      <c r="E74">
        <f>投資後權重!E74/投資後權重!$F74</f>
        <v>6.5231268249199753E-2</v>
      </c>
      <c r="F74">
        <f t="shared" si="1"/>
        <v>1</v>
      </c>
    </row>
    <row r="75" spans="1:6">
      <c r="A75" t="s">
        <v>78</v>
      </c>
      <c r="B75">
        <f>投資後權重!B75/投資後權重!$F75</f>
        <v>0</v>
      </c>
      <c r="C75">
        <f>投資後權重!C75/投資後權重!$F75</f>
        <v>9.0074823927452363E-2</v>
      </c>
      <c r="D75">
        <f>投資後權重!D75/投資後權重!$F75</f>
        <v>0.84512838327903783</v>
      </c>
      <c r="E75">
        <f>投資後權重!E75/投資後權重!$F75</f>
        <v>6.4796792793509791E-2</v>
      </c>
      <c r="F75">
        <f t="shared" si="1"/>
        <v>1</v>
      </c>
    </row>
    <row r="76" spans="1:6">
      <c r="A76" t="s">
        <v>79</v>
      </c>
      <c r="B76">
        <f>投資後權重!B76/投資後權重!$F76</f>
        <v>0</v>
      </c>
      <c r="C76">
        <f>投資後權重!C76/投資後權重!$F76</f>
        <v>8.9387447990870034E-2</v>
      </c>
      <c r="D76">
        <f>投資後權重!D76/投資後權重!$F76</f>
        <v>0.84676019620458975</v>
      </c>
      <c r="E76">
        <f>投資後權重!E76/投資後權重!$F76</f>
        <v>6.3852355804540198E-2</v>
      </c>
      <c r="F76">
        <f t="shared" si="1"/>
        <v>1</v>
      </c>
    </row>
    <row r="77" spans="1:6">
      <c r="A77" t="s">
        <v>80</v>
      </c>
      <c r="B77">
        <f>投資後權重!B77/投資後權重!$F77</f>
        <v>0</v>
      </c>
      <c r="C77">
        <f>投資後權重!C77/投資後權重!$F77</f>
        <v>9.0035348602619178E-2</v>
      </c>
      <c r="D77">
        <f>投資後權重!D77/投資後權重!$F77</f>
        <v>0.8442888104488715</v>
      </c>
      <c r="E77">
        <f>投資後權重!E77/投資後權重!$F77</f>
        <v>6.5675840948509229E-2</v>
      </c>
      <c r="F77">
        <f t="shared" si="1"/>
        <v>0.99999999999999989</v>
      </c>
    </row>
    <row r="78" spans="1:6">
      <c r="A78" t="s">
        <v>81</v>
      </c>
      <c r="B78">
        <f>投資後權重!B78/投資後權重!$F78</f>
        <v>0</v>
      </c>
      <c r="C78">
        <f>投資後權重!C78/投資後權重!$F78</f>
        <v>9.0074614014145543E-2</v>
      </c>
      <c r="D78">
        <f>投資後權重!D78/投資後權重!$F78</f>
        <v>0.84246878353233245</v>
      </c>
      <c r="E78">
        <f>投資後權重!E78/投資後權重!$F78</f>
        <v>6.7456602453522044E-2</v>
      </c>
      <c r="F78">
        <f t="shared" si="1"/>
        <v>1</v>
      </c>
    </row>
    <row r="79" spans="1:6">
      <c r="A79" t="s">
        <v>82</v>
      </c>
      <c r="B79">
        <f>投資後權重!B79/投資後權重!$F79</f>
        <v>0</v>
      </c>
      <c r="C79">
        <f>投資後權重!C79/投資後權重!$F79</f>
        <v>9.5492772353320654E-2</v>
      </c>
      <c r="D79">
        <f>投資後權重!D79/投資後權重!$F79</f>
        <v>0.83822312926304088</v>
      </c>
      <c r="E79">
        <f>投資後權重!E79/投資後權重!$F79</f>
        <v>6.6284098383638357E-2</v>
      </c>
      <c r="F79">
        <f t="shared" si="1"/>
        <v>0.99999999999999989</v>
      </c>
    </row>
    <row r="80" spans="1:6">
      <c r="A80" t="s">
        <v>83</v>
      </c>
      <c r="B80">
        <f>投資後權重!B80/投資後權重!$F80</f>
        <v>0</v>
      </c>
      <c r="C80">
        <f>投資後權重!C80/投資後權重!$F80</f>
        <v>9.5044709411501976E-2</v>
      </c>
      <c r="D80">
        <f>投資後權重!D80/投資後權重!$F80</f>
        <v>0.83913074829318757</v>
      </c>
      <c r="E80">
        <f>投資後權重!E80/投資後權重!$F80</f>
        <v>6.5824542295310498E-2</v>
      </c>
      <c r="F80">
        <f t="shared" si="1"/>
        <v>1</v>
      </c>
    </row>
    <row r="81" spans="1:6">
      <c r="A81" t="s">
        <v>84</v>
      </c>
      <c r="B81">
        <f>投資後權重!B81/投資後權重!$F81</f>
        <v>0</v>
      </c>
      <c r="C81">
        <f>投資後權重!C81/投資後權重!$F81</f>
        <v>9.4548582130752484E-2</v>
      </c>
      <c r="D81">
        <f>投資後權重!D81/投資後權重!$F81</f>
        <v>0.83683741601293737</v>
      </c>
      <c r="E81">
        <f>投資後權重!E81/投資後權重!$F81</f>
        <v>6.8614001856310169E-2</v>
      </c>
      <c r="F81">
        <f t="shared" si="1"/>
        <v>1</v>
      </c>
    </row>
    <row r="82" spans="1:6">
      <c r="A82" t="s">
        <v>85</v>
      </c>
      <c r="B82">
        <f>投資後權重!B82/投資後權重!$F82</f>
        <v>0</v>
      </c>
      <c r="C82">
        <f>投資後權重!C82/投資後權重!$F82</f>
        <v>9.565187633731613E-2</v>
      </c>
      <c r="D82">
        <f>投資後權重!D82/投資後權重!$F82</f>
        <v>0.83534058420929513</v>
      </c>
      <c r="E82">
        <f>投資後權重!E82/投資後權重!$F82</f>
        <v>6.9007539453388778E-2</v>
      </c>
      <c r="F82">
        <f t="shared" si="1"/>
        <v>1</v>
      </c>
    </row>
    <row r="83" spans="1:6">
      <c r="A83" t="s">
        <v>86</v>
      </c>
      <c r="B83">
        <f>投資後權重!B83/投資後權重!$F83</f>
        <v>0</v>
      </c>
      <c r="C83">
        <f>投資後權重!C83/投資後權重!$F83</f>
        <v>9.4548582130752484E-2</v>
      </c>
      <c r="D83">
        <f>投資後權重!D83/投資後權重!$F83</f>
        <v>0.83683741601293737</v>
      </c>
      <c r="E83">
        <f>投資後權重!E83/投資後權重!$F83</f>
        <v>6.8614001856310169E-2</v>
      </c>
      <c r="F83">
        <f t="shared" si="1"/>
        <v>1</v>
      </c>
    </row>
    <row r="84" spans="1:6">
      <c r="A84" t="s">
        <v>87</v>
      </c>
      <c r="B84">
        <f>投資後權重!B84/投資後權重!$F84</f>
        <v>0</v>
      </c>
      <c r="C84">
        <f>投資後權重!C84/投資後權重!$F84</f>
        <v>9.2786412940898816E-2</v>
      </c>
      <c r="D84">
        <f>投資後權重!D84/投資後權重!$F84</f>
        <v>0.83864852661437317</v>
      </c>
      <c r="E84">
        <f>投資後權重!E84/投資後權重!$F84</f>
        <v>6.8565060444728015E-2</v>
      </c>
      <c r="F84">
        <f t="shared" si="1"/>
        <v>1</v>
      </c>
    </row>
    <row r="85" spans="1:6">
      <c r="A85" t="s">
        <v>88</v>
      </c>
      <c r="B85">
        <f>投資後權重!B85/投資後權重!$F85</f>
        <v>0</v>
      </c>
      <c r="C85">
        <f>投資後權重!C85/投資後權重!$F85</f>
        <v>9.3225282059552786E-2</v>
      </c>
      <c r="D85">
        <f>投資後權重!D85/投資後權重!$F85</f>
        <v>0.83645120518923899</v>
      </c>
      <c r="E85">
        <f>投資後權重!E85/投資後權重!$F85</f>
        <v>7.0323512751208253E-2</v>
      </c>
      <c r="F85">
        <f t="shared" si="1"/>
        <v>1</v>
      </c>
    </row>
    <row r="86" spans="1:6">
      <c r="A86" t="s">
        <v>89</v>
      </c>
      <c r="B86">
        <f>投資後權重!B86/投資後權重!$F86</f>
        <v>0</v>
      </c>
      <c r="C86">
        <f>投資後權重!C86/投資後權重!$F86</f>
        <v>9.1192002217749132E-2</v>
      </c>
      <c r="D86">
        <f>投資後權重!D86/投資後權重!$F86</f>
        <v>0.83941308009671212</v>
      </c>
      <c r="E86">
        <f>投資後權重!E86/投資後權重!$F86</f>
        <v>6.9394917685538696E-2</v>
      </c>
      <c r="F86">
        <f t="shared" si="1"/>
        <v>1</v>
      </c>
    </row>
    <row r="87" spans="1:6">
      <c r="A87" t="s">
        <v>90</v>
      </c>
      <c r="B87">
        <f>投資後權重!B87/投資後權重!$F87</f>
        <v>0</v>
      </c>
      <c r="C87">
        <f>投資後權重!C87/投資後權重!$F87</f>
        <v>9.1303322901938461E-2</v>
      </c>
      <c r="D87">
        <f>投資後權重!D87/投資後權重!$F87</f>
        <v>0.83752900939355202</v>
      </c>
      <c r="E87">
        <f>投資後權重!E87/投資後權重!$F87</f>
        <v>7.116766770450951E-2</v>
      </c>
      <c r="F87">
        <f t="shared" si="1"/>
        <v>1</v>
      </c>
    </row>
    <row r="88" spans="1:6">
      <c r="A88" t="s">
        <v>91</v>
      </c>
      <c r="B88">
        <f>投資後權重!B88/投資後權重!$F88</f>
        <v>0</v>
      </c>
      <c r="C88">
        <f>投資後權重!C88/投資後權重!$F88</f>
        <v>9.1259368630714946E-2</v>
      </c>
      <c r="D88">
        <f>投資後權重!D88/投資後權重!$F88</f>
        <v>0.8384871619169969</v>
      </c>
      <c r="E88">
        <f>投資後權重!E88/投資後權重!$F88</f>
        <v>7.0253469452288234E-2</v>
      </c>
      <c r="F88">
        <f t="shared" si="1"/>
        <v>1</v>
      </c>
    </row>
    <row r="89" spans="1:6">
      <c r="A89" t="s">
        <v>92</v>
      </c>
      <c r="B89">
        <f>投資後權重!B89/投資後權重!$F89</f>
        <v>0</v>
      </c>
      <c r="C89">
        <f>投資後權重!C89/投資後權重!$F89</f>
        <v>8.9902437034333843E-2</v>
      </c>
      <c r="D89">
        <f>投資後權重!D89/投資後權重!$F89</f>
        <v>0.83834838537822287</v>
      </c>
      <c r="E89">
        <f>投資後權重!E89/投資後權重!$F89</f>
        <v>7.1749177587443203E-2</v>
      </c>
      <c r="F89">
        <f t="shared" si="1"/>
        <v>1</v>
      </c>
    </row>
    <row r="90" spans="1:6">
      <c r="A90" t="s">
        <v>93</v>
      </c>
      <c r="B90">
        <f>投資後權重!B90/投資後權重!$F90</f>
        <v>0</v>
      </c>
      <c r="C90">
        <f>投資後權重!C90/投資後權重!$F90</f>
        <v>8.871457600885678E-2</v>
      </c>
      <c r="D90">
        <f>投資後權重!D90/投資後權重!$F90</f>
        <v>0.84074499886812948</v>
      </c>
      <c r="E90">
        <f>投資後權重!E90/投資後權重!$F90</f>
        <v>7.0540425123013686E-2</v>
      </c>
      <c r="F90">
        <f t="shared" si="1"/>
        <v>1</v>
      </c>
    </row>
    <row r="91" spans="1:6">
      <c r="A91" t="s">
        <v>94</v>
      </c>
      <c r="B91">
        <f>投資後權重!B91/投資後權重!$F91</f>
        <v>0</v>
      </c>
      <c r="C91">
        <f>投資後權重!C91/投資後權重!$F91</f>
        <v>8.8098075489054808E-2</v>
      </c>
      <c r="D91">
        <f>投資後權重!D91/投資後權重!$F91</f>
        <v>0.84250960893029614</v>
      </c>
      <c r="E91">
        <f>投資後權重!E91/投資後權重!$F91</f>
        <v>6.9392315580649053E-2</v>
      </c>
      <c r="F91">
        <f t="shared" si="1"/>
        <v>1</v>
      </c>
    </row>
    <row r="92" spans="1:6">
      <c r="A92" t="s">
        <v>95</v>
      </c>
      <c r="B92">
        <f>投資後權重!B92/投資後權重!$F92</f>
        <v>0</v>
      </c>
      <c r="C92">
        <f>投資後權重!C92/投資後權重!$F92</f>
        <v>8.8939617899329138E-2</v>
      </c>
      <c r="D92">
        <f>投資後權重!D92/投資後權重!$F92</f>
        <v>0.84146995275484826</v>
      </c>
      <c r="E92">
        <f>投資後權重!E92/投資後權重!$F92</f>
        <v>6.959042934582256E-2</v>
      </c>
      <c r="F92">
        <f t="shared" si="1"/>
        <v>1</v>
      </c>
    </row>
    <row r="93" spans="1:6">
      <c r="A93" t="s">
        <v>96</v>
      </c>
      <c r="B93">
        <f>投資後權重!B93/投資後權重!$F93</f>
        <v>0</v>
      </c>
      <c r="C93">
        <f>投資後權重!C93/投資後權重!$F93</f>
        <v>9.1094868717495267E-2</v>
      </c>
      <c r="D93">
        <f>投資後權重!D93/投資後權重!$F93</f>
        <v>0.83942470655283408</v>
      </c>
      <c r="E93">
        <f>投資後權重!E93/投資後權重!$F93</f>
        <v>6.9480424729670753E-2</v>
      </c>
      <c r="F93">
        <f t="shared" si="1"/>
        <v>1</v>
      </c>
    </row>
    <row r="94" spans="1:6">
      <c r="A94" t="s">
        <v>97</v>
      </c>
      <c r="B94">
        <f>投資後權重!B94/投資後權重!$F94</f>
        <v>0</v>
      </c>
      <c r="C94">
        <f>投資後權重!C94/投資後權重!$F94</f>
        <v>9.4633848639452345E-2</v>
      </c>
      <c r="D94">
        <f>投資後權重!D94/投資後權重!$F94</f>
        <v>0.83152623182452878</v>
      </c>
      <c r="E94">
        <f>投資後權重!E94/投資後權重!$F94</f>
        <v>7.38399195360189E-2</v>
      </c>
      <c r="F94">
        <f t="shared" si="1"/>
        <v>1</v>
      </c>
    </row>
    <row r="95" spans="1:6">
      <c r="A95" t="s">
        <v>98</v>
      </c>
      <c r="B95">
        <f>投資後權重!B95/投資後權重!$F95</f>
        <v>0</v>
      </c>
      <c r="C95">
        <f>投資後權重!C95/投資後權重!$F95</f>
        <v>9.5092654503232593E-2</v>
      </c>
      <c r="D95">
        <f>投資後權重!D95/投資後權重!$F95</f>
        <v>0.82946977984405112</v>
      </c>
      <c r="E95">
        <f>投資後權重!E95/投資後權重!$F95</f>
        <v>7.5437565652716296E-2</v>
      </c>
      <c r="F95">
        <f t="shared" si="1"/>
        <v>1</v>
      </c>
    </row>
    <row r="96" spans="1:6">
      <c r="A96" t="s">
        <v>99</v>
      </c>
      <c r="B96">
        <f>投資後權重!B96/投資後權重!$F96</f>
        <v>0</v>
      </c>
      <c r="C96">
        <f>投資後權重!C96/投資後權重!$F96</f>
        <v>9.3595209538888696E-2</v>
      </c>
      <c r="D96">
        <f>投資後權重!D96/投資後權重!$F96</f>
        <v>0.83126336356761976</v>
      </c>
      <c r="E96">
        <f>投資後權重!E96/投資後權重!$F96</f>
        <v>7.5141426893491473E-2</v>
      </c>
      <c r="F96">
        <f t="shared" si="1"/>
        <v>0.99999999999999989</v>
      </c>
    </row>
    <row r="97" spans="1:6">
      <c r="A97" t="s">
        <v>100</v>
      </c>
      <c r="B97">
        <f>投資後權重!B97/投資後權重!$F97</f>
        <v>0</v>
      </c>
      <c r="C97">
        <f>投資後權重!C97/投資後權重!$F97</f>
        <v>9.343686409475814E-2</v>
      </c>
      <c r="D97">
        <f>投資後權重!D97/投資後權重!$F97</f>
        <v>0.82984879330239958</v>
      </c>
      <c r="E97">
        <f>投資後權重!E97/投資後權重!$F97</f>
        <v>7.6714342602842295E-2</v>
      </c>
      <c r="F97">
        <f t="shared" si="1"/>
        <v>1</v>
      </c>
    </row>
    <row r="98" spans="1:6">
      <c r="A98" t="s">
        <v>101</v>
      </c>
      <c r="B98">
        <f>投資後權重!B98/投資後權重!$F98</f>
        <v>0</v>
      </c>
      <c r="C98">
        <f>投資後權重!C98/投資後權重!$F98</f>
        <v>9.3149330734822261E-2</v>
      </c>
      <c r="D98">
        <f>投資後權重!D98/投資後權重!$F98</f>
        <v>0.83171752529244236</v>
      </c>
      <c r="E98">
        <f>投資後權重!E98/投資後權重!$F98</f>
        <v>7.5133143972735461E-2</v>
      </c>
      <c r="F98">
        <f t="shared" si="1"/>
        <v>1</v>
      </c>
    </row>
    <row r="99" spans="1:6">
      <c r="A99" t="s">
        <v>102</v>
      </c>
      <c r="B99">
        <f>投資後權重!B99/投資後權重!$F99</f>
        <v>0</v>
      </c>
      <c r="C99">
        <f>投資後權重!C99/投資後權重!$F99</f>
        <v>9.2811978258838509E-2</v>
      </c>
      <c r="D99">
        <f>投資後權重!D99/投資後權重!$F99</f>
        <v>0.83216814371599679</v>
      </c>
      <c r="E99">
        <f>投資後權重!E99/投資後權重!$F99</f>
        <v>7.5019878025164827E-2</v>
      </c>
      <c r="F99">
        <f t="shared" si="1"/>
        <v>1</v>
      </c>
    </row>
    <row r="100" spans="1:6">
      <c r="A100" t="s">
        <v>103</v>
      </c>
      <c r="B100">
        <f>投資後權重!B100/投資後權重!$F100</f>
        <v>0</v>
      </c>
      <c r="C100">
        <f>投資後權重!C100/投資後權重!$F100</f>
        <v>9.0970514554611498E-2</v>
      </c>
      <c r="D100">
        <f>投資後權重!D100/投資後權重!$F100</f>
        <v>0.83492584585512497</v>
      </c>
      <c r="E100">
        <f>投資後權重!E100/投資後權重!$F100</f>
        <v>7.4103639590263615E-2</v>
      </c>
      <c r="F100">
        <f t="shared" si="1"/>
        <v>1</v>
      </c>
    </row>
    <row r="101" spans="1:6">
      <c r="A101" t="s">
        <v>104</v>
      </c>
      <c r="B101">
        <f>投資後權重!B101/投資後權重!$F101</f>
        <v>0</v>
      </c>
      <c r="C101">
        <f>投資後權重!C101/投資後權重!$F101</f>
        <v>9.1828775879415181E-2</v>
      </c>
      <c r="D101">
        <f>投資後權重!D101/投資後權重!$F101</f>
        <v>0.8358742537387378</v>
      </c>
      <c r="E101">
        <f>投資後權重!E101/投資後權重!$F101</f>
        <v>7.2296970381847153E-2</v>
      </c>
      <c r="F101">
        <f t="shared" si="1"/>
        <v>1.0000000000000002</v>
      </c>
    </row>
    <row r="102" spans="1:6">
      <c r="A102" t="s">
        <v>105</v>
      </c>
      <c r="B102">
        <f>投資後權重!B102/投資後權重!$F102</f>
        <v>0</v>
      </c>
      <c r="C102">
        <f>投資後權重!C102/投資後權重!$F102</f>
        <v>8.8984483872758549E-2</v>
      </c>
      <c r="D102">
        <f>投資後權重!D102/投資後權重!$F102</f>
        <v>0.83836830419207076</v>
      </c>
      <c r="E102">
        <f>投資後權重!E102/投資後權重!$F102</f>
        <v>7.2647211935170611E-2</v>
      </c>
      <c r="F102">
        <f t="shared" si="1"/>
        <v>1</v>
      </c>
    </row>
    <row r="103" spans="1:6">
      <c r="A103" t="s">
        <v>106</v>
      </c>
      <c r="B103">
        <f>投資後權重!B103/投資後權重!$F103</f>
        <v>0</v>
      </c>
      <c r="C103">
        <f>投資後權重!C103/投資後權重!$F103</f>
        <v>9.0331444707648562E-2</v>
      </c>
      <c r="D103">
        <f>投資後權重!D103/投資後權重!$F103</f>
        <v>0.83677920210597467</v>
      </c>
      <c r="E103">
        <f>投資後權重!E103/投資後權重!$F103</f>
        <v>7.2889353186376682E-2</v>
      </c>
      <c r="F103">
        <f t="shared" si="1"/>
        <v>0.99999999999999989</v>
      </c>
    </row>
    <row r="104" spans="1:6">
      <c r="A104" t="s">
        <v>107</v>
      </c>
      <c r="B104">
        <f>投資後權重!B104/投資後權重!$F104</f>
        <v>0</v>
      </c>
      <c r="C104">
        <f>投資後權重!C104/投資後權重!$F104</f>
        <v>9.1396733453363591E-2</v>
      </c>
      <c r="D104">
        <f>投資後權重!D104/投資後權重!$F104</f>
        <v>0.83636447008982406</v>
      </c>
      <c r="E104">
        <f>投資後權重!E104/投資後權重!$F104</f>
        <v>7.2238796456812346E-2</v>
      </c>
      <c r="F104">
        <f t="shared" si="1"/>
        <v>1</v>
      </c>
    </row>
    <row r="105" spans="1:6">
      <c r="A105" t="s">
        <v>108</v>
      </c>
      <c r="B105">
        <f>投資後權重!B105/投資後權重!$F105</f>
        <v>0</v>
      </c>
      <c r="C105">
        <f>投資後權重!C105/投資後權重!$F105</f>
        <v>9.2186872173185455E-2</v>
      </c>
      <c r="D105">
        <f>投資後權重!D105/投資後權重!$F105</f>
        <v>0.83601312306510234</v>
      </c>
      <c r="E105">
        <f>投資後權重!E105/投資後權重!$F105</f>
        <v>7.180000476171218E-2</v>
      </c>
      <c r="F105">
        <f t="shared" si="1"/>
        <v>1</v>
      </c>
    </row>
    <row r="106" spans="1:6">
      <c r="A106" t="s">
        <v>109</v>
      </c>
      <c r="B106">
        <f>投資後權重!B106/投資後權重!$F106</f>
        <v>0</v>
      </c>
      <c r="C106">
        <f>投資後權重!C106/投資後權重!$F106</f>
        <v>9.2903228218049611E-2</v>
      </c>
      <c r="D106">
        <f>投資後權重!D106/投資後權重!$F106</f>
        <v>0.8318145092777508</v>
      </c>
      <c r="E106">
        <f>投資後權重!E106/投資後權重!$F106</f>
        <v>7.5282262504199601E-2</v>
      </c>
      <c r="F106">
        <f t="shared" si="1"/>
        <v>1</v>
      </c>
    </row>
    <row r="107" spans="1:6">
      <c r="A107" t="s">
        <v>110</v>
      </c>
      <c r="B107">
        <f>投資後權重!B107/投資後權重!$F107</f>
        <v>0</v>
      </c>
      <c r="C107">
        <f>投資後權重!C107/投資後權重!$F107</f>
        <v>9.5219694133276717E-2</v>
      </c>
      <c r="D107">
        <f>投資後權重!D107/投資後權重!$F107</f>
        <v>0.82941887906300971</v>
      </c>
      <c r="E107">
        <f>投資後權重!E107/投資後權重!$F107</f>
        <v>7.5361426803713535E-2</v>
      </c>
      <c r="F107">
        <f t="shared" si="1"/>
        <v>0.99999999999999989</v>
      </c>
    </row>
    <row r="108" spans="1:6">
      <c r="A108" t="s">
        <v>111</v>
      </c>
      <c r="B108">
        <f>投資後權重!B108/投資後權重!$F108</f>
        <v>0</v>
      </c>
      <c r="C108">
        <f>投資後權重!C108/投資後權重!$F108</f>
        <v>9.6253517393134841E-2</v>
      </c>
      <c r="D108">
        <f>投資後權重!D108/投資後權重!$F108</f>
        <v>0.8291395795953187</v>
      </c>
      <c r="E108">
        <f>投資後權重!E108/投資後權重!$F108</f>
        <v>7.4606903011546391E-2</v>
      </c>
      <c r="F108">
        <f t="shared" si="1"/>
        <v>0.99999999999999989</v>
      </c>
    </row>
    <row r="109" spans="1:6">
      <c r="A109" t="s">
        <v>112</v>
      </c>
      <c r="B109">
        <f>投資後權重!B109/投資後權重!$F109</f>
        <v>0</v>
      </c>
      <c r="C109">
        <f>投資後權重!C109/投資後權重!$F109</f>
        <v>9.3618485212585256E-2</v>
      </c>
      <c r="D109">
        <f>投資後權重!D109/投資後權重!$F109</f>
        <v>0.83194419356782856</v>
      </c>
      <c r="E109">
        <f>投資後權重!E109/投資後權重!$F109</f>
        <v>7.4437321219586225E-2</v>
      </c>
      <c r="F109">
        <f t="shared" si="1"/>
        <v>1</v>
      </c>
    </row>
    <row r="110" spans="1:6">
      <c r="A110" t="s">
        <v>113</v>
      </c>
      <c r="B110">
        <f>投資後權重!B110/投資後權重!$F110</f>
        <v>0</v>
      </c>
      <c r="C110">
        <f>投資後權重!C110/投資後權重!$F110</f>
        <v>9.2068611432083794E-2</v>
      </c>
      <c r="D110">
        <f>投資後權重!D110/投資後權重!$F110</f>
        <v>0.83227330753314743</v>
      </c>
      <c r="E110">
        <f>投資後權重!E110/投資後權重!$F110</f>
        <v>7.5658081034768801E-2</v>
      </c>
      <c r="F110">
        <f t="shared" si="1"/>
        <v>1</v>
      </c>
    </row>
    <row r="111" spans="1:6">
      <c r="A111" t="s">
        <v>114</v>
      </c>
      <c r="B111">
        <f>投資後權重!B111/投資後權重!$F111</f>
        <v>0</v>
      </c>
      <c r="C111">
        <f>投資後權重!C111/投資後權重!$F111</f>
        <v>9.7926109082227084E-2</v>
      </c>
      <c r="D111">
        <f>投資後權重!D111/投資後權重!$F111</f>
        <v>0.8262084808622906</v>
      </c>
      <c r="E111">
        <f>投資後權重!E111/投資後權重!$F111</f>
        <v>7.5865410055482294E-2</v>
      </c>
      <c r="F111">
        <f t="shared" si="1"/>
        <v>1</v>
      </c>
    </row>
    <row r="112" spans="1:6">
      <c r="A112" t="s">
        <v>115</v>
      </c>
      <c r="B112">
        <f>投資後權重!B112/投資後權重!$F112</f>
        <v>0</v>
      </c>
      <c r="C112">
        <f>投資後權重!C112/投資後權重!$F112</f>
        <v>9.6633223564204937E-2</v>
      </c>
      <c r="D112">
        <f>投資後權重!D112/投資後權重!$F112</f>
        <v>0.82707281111134234</v>
      </c>
      <c r="E112">
        <f>投資後權重!E112/投資後權重!$F112</f>
        <v>7.6293965324452762E-2</v>
      </c>
      <c r="F112">
        <f t="shared" si="1"/>
        <v>1</v>
      </c>
    </row>
    <row r="113" spans="1:6">
      <c r="A113" t="s">
        <v>116</v>
      </c>
      <c r="B113">
        <f>投資後權重!B113/投資後權重!$F113</f>
        <v>0</v>
      </c>
      <c r="C113">
        <f>投資後權重!C113/投資後權重!$F113</f>
        <v>9.7043580539165494E-2</v>
      </c>
      <c r="D113">
        <f>投資後權重!D113/投資後權重!$F113</f>
        <v>0.82834041029645766</v>
      </c>
      <c r="E113">
        <f>投資後權重!E113/投資後權重!$F113</f>
        <v>7.4616009164376842E-2</v>
      </c>
      <c r="F113">
        <f t="shared" si="1"/>
        <v>1</v>
      </c>
    </row>
    <row r="114" spans="1:6">
      <c r="A114" t="s">
        <v>117</v>
      </c>
      <c r="B114">
        <f>投資後權重!B114/投資後權重!$F114</f>
        <v>0</v>
      </c>
      <c r="C114">
        <f>投資後權重!C114/投資後權重!$F114</f>
        <v>9.8861348439705218E-2</v>
      </c>
      <c r="D114">
        <f>投資後權重!D114/投資後權重!$F114</f>
        <v>0.82824207034751163</v>
      </c>
      <c r="E114">
        <f>投資後權重!E114/投資後權重!$F114</f>
        <v>7.2896581212783126E-2</v>
      </c>
      <c r="F114">
        <f t="shared" si="1"/>
        <v>0.99999999999999989</v>
      </c>
    </row>
    <row r="115" spans="1:6">
      <c r="A115" t="s">
        <v>118</v>
      </c>
      <c r="B115">
        <f>投資後權重!B115/投資後權重!$F115</f>
        <v>0</v>
      </c>
      <c r="C115">
        <f>投資後權重!C115/投資後權重!$F115</f>
        <v>9.7060096476472055E-2</v>
      </c>
      <c r="D115">
        <f>投資後權重!D115/投資後權重!$F115</f>
        <v>0.8299922946252829</v>
      </c>
      <c r="E115">
        <f>投資後權重!E115/投資後權重!$F115</f>
        <v>7.2947608898245156E-2</v>
      </c>
      <c r="F115">
        <f t="shared" si="1"/>
        <v>1.0000000000000002</v>
      </c>
    </row>
    <row r="116" spans="1:6">
      <c r="A116" t="s">
        <v>119</v>
      </c>
      <c r="B116">
        <f>投資後權重!B116/投資後權重!$F116</f>
        <v>0</v>
      </c>
      <c r="C116">
        <f>投資後權重!C116/投資後權重!$F116</f>
        <v>9.8153121214912251E-2</v>
      </c>
      <c r="D116">
        <f>投資後權重!D116/投資後權重!$F116</f>
        <v>0.82946452519692315</v>
      </c>
      <c r="E116">
        <f>投資後權重!E116/投資後權重!$F116</f>
        <v>7.2382353588164569E-2</v>
      </c>
      <c r="F116">
        <f t="shared" si="1"/>
        <v>1</v>
      </c>
    </row>
    <row r="117" spans="1:6">
      <c r="A117" t="s">
        <v>120</v>
      </c>
      <c r="B117">
        <f>投資後權重!B117/投資後權重!$F117</f>
        <v>0</v>
      </c>
      <c r="C117">
        <f>投資後權重!C117/投資後權重!$F117</f>
        <v>9.8243104469243198E-2</v>
      </c>
      <c r="D117">
        <f>投資後權重!D117/投資後權重!$F117</f>
        <v>0.82955814980729337</v>
      </c>
      <c r="E117">
        <f>投資後權重!E117/投資後權重!$F117</f>
        <v>7.2198745723463395E-2</v>
      </c>
      <c r="F117">
        <f t="shared" si="1"/>
        <v>1</v>
      </c>
    </row>
    <row r="118" spans="1:6">
      <c r="A118" t="s">
        <v>121</v>
      </c>
      <c r="B118">
        <f>投資後權重!B118/投資後權重!$F118</f>
        <v>0</v>
      </c>
      <c r="C118">
        <f>投資後權重!C118/投資後權重!$F118</f>
        <v>9.8824349432534625E-2</v>
      </c>
      <c r="D118">
        <f>投資後權重!D118/投資後權重!$F118</f>
        <v>0.82845128092352627</v>
      </c>
      <c r="E118">
        <f>投資後權重!E118/投資後權重!$F118</f>
        <v>7.2724369643939066E-2</v>
      </c>
      <c r="F118">
        <f t="shared" si="1"/>
        <v>0.99999999999999989</v>
      </c>
    </row>
    <row r="119" spans="1:6">
      <c r="A119" t="s">
        <v>122</v>
      </c>
      <c r="B119">
        <f>投資後權重!B119/投資後權重!$F119</f>
        <v>0</v>
      </c>
      <c r="C119">
        <f>投資後權重!C119/投資後權重!$F119</f>
        <v>9.4734272581927834E-2</v>
      </c>
      <c r="D119">
        <f>投資後權重!D119/投資後權重!$F119</f>
        <v>0.83189104443460971</v>
      </c>
      <c r="E119">
        <f>投資後權重!E119/投資後權重!$F119</f>
        <v>7.337468298346253E-2</v>
      </c>
      <c r="F119">
        <f t="shared" si="1"/>
        <v>1</v>
      </c>
    </row>
    <row r="120" spans="1:6">
      <c r="A120" t="s">
        <v>123</v>
      </c>
      <c r="B120">
        <f>投資後權重!B120/投資後權重!$F120</f>
        <v>0</v>
      </c>
      <c r="C120">
        <f>投資後權重!C120/投資後權重!$F120</f>
        <v>9.260317639503686E-2</v>
      </c>
      <c r="D120">
        <f>投資後權重!D120/投資後權重!$F120</f>
        <v>0.83539898103507282</v>
      </c>
      <c r="E120">
        <f>投資後權重!E120/投資後權重!$F120</f>
        <v>7.199784256989035E-2</v>
      </c>
      <c r="F120">
        <f t="shared" si="1"/>
        <v>1</v>
      </c>
    </row>
    <row r="121" spans="1:6">
      <c r="A121" t="s">
        <v>124</v>
      </c>
      <c r="B121">
        <f>投資後權重!B121/投資後權重!$F121</f>
        <v>0</v>
      </c>
      <c r="C121">
        <f>投資後權重!C121/投資後權重!$F121</f>
        <v>9.5379325539318563E-2</v>
      </c>
      <c r="D121">
        <f>投資後權重!D121/投資後權重!$F121</f>
        <v>0.83593866997847266</v>
      </c>
      <c r="E121">
        <f>投資後權重!E121/投資後權重!$F121</f>
        <v>6.8682004482208736E-2</v>
      </c>
      <c r="F121">
        <f t="shared" si="1"/>
        <v>1</v>
      </c>
    </row>
    <row r="122" spans="1:6">
      <c r="A122" t="s">
        <v>125</v>
      </c>
      <c r="B122">
        <f>投資後權重!B122/投資後權重!$F122</f>
        <v>0</v>
      </c>
      <c r="C122">
        <f>投資後權重!C122/投資後權重!$F122</f>
        <v>9.5498580702006203E-2</v>
      </c>
      <c r="D122">
        <f>投資後權重!D122/投資後權重!$F122</f>
        <v>0.83698386506159439</v>
      </c>
      <c r="E122">
        <f>投資後權重!E122/投資後權重!$F122</f>
        <v>6.7517554236399352E-2</v>
      </c>
      <c r="F122">
        <f t="shared" si="1"/>
        <v>1</v>
      </c>
    </row>
    <row r="123" spans="1:6">
      <c r="A123" t="s">
        <v>126</v>
      </c>
      <c r="B123">
        <f>投資後權重!B123/投資後權重!$F123</f>
        <v>0</v>
      </c>
      <c r="C123">
        <f>投資後權重!C123/投資後權重!$F123</f>
        <v>9.754151631420617E-2</v>
      </c>
      <c r="D123">
        <f>投資後權重!D123/投資後權重!$F123</f>
        <v>0.83376382762924084</v>
      </c>
      <c r="E123">
        <f>投資後權重!E123/投資後權重!$F123</f>
        <v>6.869465605655295E-2</v>
      </c>
      <c r="F123">
        <f t="shared" si="1"/>
        <v>1</v>
      </c>
    </row>
    <row r="124" spans="1:6">
      <c r="A124" t="s">
        <v>127</v>
      </c>
      <c r="B124">
        <f>投資後權重!B124/投資後權重!$F124</f>
        <v>0</v>
      </c>
      <c r="C124">
        <f>投資後權重!C124/投資後權重!$F124</f>
        <v>9.6576582827534188E-2</v>
      </c>
      <c r="D124">
        <f>投資後權重!D124/投資後權重!$F124</f>
        <v>0.83318229243713104</v>
      </c>
      <c r="E124">
        <f>投資後權重!E124/投資後權重!$F124</f>
        <v>7.0241124735334684E-2</v>
      </c>
      <c r="F124">
        <f t="shared" si="1"/>
        <v>1</v>
      </c>
    </row>
    <row r="125" spans="1:6">
      <c r="A125" t="s">
        <v>128</v>
      </c>
      <c r="B125">
        <f>投資後權重!B125/投資後權重!$F125</f>
        <v>0</v>
      </c>
      <c r="C125">
        <f>投資後權重!C125/投資後權重!$F125</f>
        <v>9.5534083090663677E-2</v>
      </c>
      <c r="D125">
        <f>投資後權重!D125/投資後權重!$F125</f>
        <v>0.83556166433305346</v>
      </c>
      <c r="E125">
        <f>投資後權重!E125/投資後權重!$F125</f>
        <v>6.8904252576282993E-2</v>
      </c>
      <c r="F125">
        <f t="shared" si="1"/>
        <v>1.0000000000000002</v>
      </c>
    </row>
    <row r="126" spans="1:6">
      <c r="A126" t="s">
        <v>129</v>
      </c>
      <c r="B126">
        <f>投資後權重!B126/投資後權重!$F126</f>
        <v>0</v>
      </c>
      <c r="C126">
        <f>投資後權重!C126/投資後權重!$F126</f>
        <v>9.3752653670264682E-2</v>
      </c>
      <c r="D126">
        <f>投資後權重!D126/投資後權重!$F126</f>
        <v>0.83992823771497782</v>
      </c>
      <c r="E126">
        <f>投資後權重!E126/投資後權重!$F126</f>
        <v>6.6319108614757608E-2</v>
      </c>
      <c r="F126">
        <f t="shared" si="1"/>
        <v>1</v>
      </c>
    </row>
    <row r="127" spans="1:6">
      <c r="A127" t="s">
        <v>130</v>
      </c>
      <c r="B127">
        <f>投資後權重!B127/投資後權重!$F127</f>
        <v>0</v>
      </c>
      <c r="C127">
        <f>投資後權重!C127/投資後權重!$F127</f>
        <v>9.3336746034435203E-2</v>
      </c>
      <c r="D127">
        <f>投資後權重!D127/投資後權重!$F127</f>
        <v>0.84064696212189072</v>
      </c>
      <c r="E127">
        <f>投資後權重!E127/投資後權重!$F127</f>
        <v>6.6016291843674052E-2</v>
      </c>
      <c r="F127">
        <f t="shared" si="1"/>
        <v>1</v>
      </c>
    </row>
    <row r="128" spans="1:6">
      <c r="A128" t="s">
        <v>131</v>
      </c>
      <c r="B128">
        <f>投資後權重!B128/投資後權重!$F128</f>
        <v>0</v>
      </c>
      <c r="C128">
        <f>投資後權重!C128/投資後權重!$F128</f>
        <v>9.355529653496561E-2</v>
      </c>
      <c r="D128">
        <f>投資後權重!D128/投資後權重!$F128</f>
        <v>0.84066936568543649</v>
      </c>
      <c r="E128">
        <f>投資後權重!E128/投資後權重!$F128</f>
        <v>6.5775337779597903E-2</v>
      </c>
      <c r="F128">
        <f t="shared" si="1"/>
        <v>1</v>
      </c>
    </row>
    <row r="129" spans="1:6">
      <c r="A129" t="s">
        <v>132</v>
      </c>
      <c r="B129">
        <f>投資後權重!B129/投資後權重!$F129</f>
        <v>0</v>
      </c>
      <c r="C129">
        <f>投資後權重!C129/投資後權重!$F129</f>
        <v>9.112006677219979E-2</v>
      </c>
      <c r="D129">
        <f>投資後權重!D129/投資後權重!$F129</f>
        <v>0.84424459540101648</v>
      </c>
      <c r="E129">
        <f>投資後權重!E129/投資後權重!$F129</f>
        <v>6.4635337826783698E-2</v>
      </c>
      <c r="F129">
        <f t="shared" si="1"/>
        <v>0.99999999999999989</v>
      </c>
    </row>
    <row r="130" spans="1:6">
      <c r="A130" t="s">
        <v>133</v>
      </c>
      <c r="B130">
        <f>投資後權重!B130/投資後權重!$F130</f>
        <v>0</v>
      </c>
      <c r="C130">
        <f>投資後權重!C130/投資後權重!$F130</f>
        <v>9.2675028398066683E-2</v>
      </c>
      <c r="D130">
        <f>投資後權重!D130/投資後權重!$F130</f>
        <v>0.84225867958489753</v>
      </c>
      <c r="E130">
        <f>投資後權重!E130/投資後權重!$F130</f>
        <v>6.5066292017035746E-2</v>
      </c>
      <c r="F130">
        <f t="shared" si="1"/>
        <v>1</v>
      </c>
    </row>
    <row r="131" spans="1:6">
      <c r="A131" t="s">
        <v>134</v>
      </c>
      <c r="B131">
        <f>投資後權重!B131/投資後權重!$F131</f>
        <v>0</v>
      </c>
      <c r="C131">
        <f>投資後權重!C131/投資後權重!$F131</f>
        <v>9.1572491097834899E-2</v>
      </c>
      <c r="D131">
        <f>投資後權重!D131/投資後權重!$F131</f>
        <v>0.84388317194958418</v>
      </c>
      <c r="E131">
        <f>投資後權重!E131/投資後權重!$F131</f>
        <v>6.4544336952580841E-2</v>
      </c>
      <c r="F131">
        <f t="shared" si="1"/>
        <v>1</v>
      </c>
    </row>
    <row r="132" spans="1:6">
      <c r="A132" t="s">
        <v>135</v>
      </c>
      <c r="B132">
        <f>投資後權重!B132/投資後權重!$F132</f>
        <v>0</v>
      </c>
      <c r="C132">
        <f>投資後權重!C132/投資後權重!$F132</f>
        <v>9.4443329510478791E-2</v>
      </c>
      <c r="D132">
        <f>投資後權重!D132/投資後權重!$F132</f>
        <v>0.84002896215850531</v>
      </c>
      <c r="E132">
        <f>投資後權重!E132/投資後權重!$F132</f>
        <v>6.5527708331015802E-2</v>
      </c>
      <c r="F132">
        <f t="shared" ref="F132:F195" si="2">SUM(B132:E132)</f>
        <v>0.99999999999999989</v>
      </c>
    </row>
    <row r="133" spans="1:6">
      <c r="A133" t="s">
        <v>136</v>
      </c>
      <c r="B133">
        <f>投資後權重!B133/投資後權重!$F133</f>
        <v>0</v>
      </c>
      <c r="C133">
        <f>投資後權重!C133/投資後權重!$F133</f>
        <v>9.2255116925038863E-2</v>
      </c>
      <c r="D133">
        <f>投資後權重!D133/投資後權重!$F133</f>
        <v>0.84179574387248191</v>
      </c>
      <c r="E133">
        <f>投資後權重!E133/投資後權重!$F133</f>
        <v>6.5949139202479246E-2</v>
      </c>
      <c r="F133">
        <f t="shared" si="2"/>
        <v>1</v>
      </c>
    </row>
    <row r="134" spans="1:6">
      <c r="A134" t="s">
        <v>137</v>
      </c>
      <c r="B134">
        <f>投資後權重!B134/投資後權重!$F134</f>
        <v>0</v>
      </c>
      <c r="C134">
        <f>投資後權重!C134/投資後權重!$F134</f>
        <v>9.2599148147593083E-2</v>
      </c>
      <c r="D134">
        <f>投資後權重!D134/投資後權重!$F134</f>
        <v>0.84158122155057258</v>
      </c>
      <c r="E134">
        <f>投資後權重!E134/投資後權重!$F134</f>
        <v>6.5819630301834381E-2</v>
      </c>
      <c r="F134">
        <f t="shared" si="2"/>
        <v>1</v>
      </c>
    </row>
    <row r="135" spans="1:6">
      <c r="A135" t="s">
        <v>138</v>
      </c>
      <c r="B135">
        <f>投資後權重!B135/投資後權重!$F135</f>
        <v>0</v>
      </c>
      <c r="C135">
        <f>投資後權重!C135/投資後權重!$F135</f>
        <v>9.3190638320532412E-2</v>
      </c>
      <c r="D135">
        <f>投資後權重!D135/投資後權重!$F135</f>
        <v>0.8389275035004834</v>
      </c>
      <c r="E135">
        <f>投資後權重!E135/投資後權重!$F135</f>
        <v>6.7881858178984109E-2</v>
      </c>
      <c r="F135">
        <f t="shared" si="2"/>
        <v>0.99999999999999989</v>
      </c>
    </row>
    <row r="136" spans="1:6">
      <c r="A136" t="s">
        <v>139</v>
      </c>
      <c r="B136">
        <f>投資後權重!B136/投資後權重!$F136</f>
        <v>0</v>
      </c>
      <c r="C136">
        <f>投資後權重!C136/投資後權重!$F136</f>
        <v>9.1986097078207235E-2</v>
      </c>
      <c r="D136">
        <f>投資後權重!D136/投資後權重!$F136</f>
        <v>0.8416243290097597</v>
      </c>
      <c r="E136">
        <f>投資後權重!E136/投資後權重!$F136</f>
        <v>6.638957391203304E-2</v>
      </c>
      <c r="F136">
        <f t="shared" si="2"/>
        <v>1</v>
      </c>
    </row>
    <row r="137" spans="1:6">
      <c r="A137" t="s">
        <v>140</v>
      </c>
      <c r="B137">
        <f>投資後權重!B137/投資後權重!$F137</f>
        <v>0</v>
      </c>
      <c r="C137">
        <f>投資後權重!C137/投資後權重!$F137</f>
        <v>9.3540647666681465E-2</v>
      </c>
      <c r="D137">
        <f>投資後權重!D137/投資後權重!$F137</f>
        <v>0.83917697320003604</v>
      </c>
      <c r="E137">
        <f>投資後權重!E137/投資後權重!$F137</f>
        <v>6.7282379133282555E-2</v>
      </c>
      <c r="F137">
        <f t="shared" si="2"/>
        <v>1</v>
      </c>
    </row>
    <row r="138" spans="1:6">
      <c r="A138" t="s">
        <v>141</v>
      </c>
      <c r="B138">
        <f>投資後權重!B138/投資後權重!$F138</f>
        <v>0</v>
      </c>
      <c r="C138">
        <f>投資後權重!C138/投資後權重!$F138</f>
        <v>9.5092166294351244E-2</v>
      </c>
      <c r="D138">
        <f>投資後權重!D138/投資後權重!$F138</f>
        <v>0.83908861929732659</v>
      </c>
      <c r="E138">
        <f>投資後權重!E138/投資後權重!$F138</f>
        <v>6.581921440832221E-2</v>
      </c>
      <c r="F138">
        <f t="shared" si="2"/>
        <v>1</v>
      </c>
    </row>
    <row r="139" spans="1:6">
      <c r="A139" t="s">
        <v>142</v>
      </c>
      <c r="B139">
        <f>投資後權重!B139/投資後權重!$F139</f>
        <v>0</v>
      </c>
      <c r="C139">
        <f>投資後權重!C139/投資後權重!$F139</f>
        <v>9.5033269619055283E-2</v>
      </c>
      <c r="D139">
        <f>投資後權重!D139/投資後權重!$F139</f>
        <v>0.84275876975660502</v>
      </c>
      <c r="E139">
        <f>投資後權重!E139/投資後權重!$F139</f>
        <v>6.2207960624339767E-2</v>
      </c>
      <c r="F139">
        <f t="shared" si="2"/>
        <v>1</v>
      </c>
    </row>
    <row r="140" spans="1:6">
      <c r="A140" t="s">
        <v>143</v>
      </c>
      <c r="B140">
        <f>投資後權重!B140/投資後權重!$F140</f>
        <v>0</v>
      </c>
      <c r="C140">
        <f>投資後權重!C140/投資後權重!$F140</f>
        <v>9.3338751573730436E-2</v>
      </c>
      <c r="D140">
        <f>投資後權重!D140/投資後權重!$F140</f>
        <v>0.84538065497275405</v>
      </c>
      <c r="E140">
        <f>投資後權重!E140/投資後權重!$F140</f>
        <v>6.1280593453515352E-2</v>
      </c>
      <c r="F140">
        <f t="shared" si="2"/>
        <v>0.99999999999999978</v>
      </c>
    </row>
    <row r="141" spans="1:6">
      <c r="A141" t="s">
        <v>144</v>
      </c>
      <c r="B141">
        <f>投資後權重!B141/投資後權重!$F141</f>
        <v>0</v>
      </c>
      <c r="C141">
        <f>投資後權重!C141/投資後權重!$F141</f>
        <v>9.3133397042117066E-2</v>
      </c>
      <c r="D141">
        <f>投資後權重!D141/投資後權重!$F141</f>
        <v>0.84515268344888916</v>
      </c>
      <c r="E141">
        <f>投資後權重!E141/投資後權重!$F141</f>
        <v>6.1713919508993728E-2</v>
      </c>
      <c r="F141">
        <f t="shared" si="2"/>
        <v>1</v>
      </c>
    </row>
    <row r="142" spans="1:6">
      <c r="A142" t="s">
        <v>145</v>
      </c>
      <c r="B142">
        <f>投資後權重!B142/投資後權重!$F142</f>
        <v>0</v>
      </c>
      <c r="C142">
        <f>投資後權重!C142/投資後權重!$F142</f>
        <v>8.659063048719276E-2</v>
      </c>
      <c r="D142">
        <f>投資後權重!D142/投資後權重!$F142</f>
        <v>0.85098159291157671</v>
      </c>
      <c r="E142">
        <f>投資後權重!E142/投資後權重!$F142</f>
        <v>6.2427776601230417E-2</v>
      </c>
      <c r="F142">
        <f t="shared" si="2"/>
        <v>0.99999999999999989</v>
      </c>
    </row>
    <row r="143" spans="1:6">
      <c r="A143" t="s">
        <v>146</v>
      </c>
      <c r="B143">
        <f>投資後權重!B143/投資後權重!$F143</f>
        <v>0</v>
      </c>
      <c r="C143">
        <f>投資後權重!C143/投資後權重!$F143</f>
        <v>8.4379265131061476E-2</v>
      </c>
      <c r="D143">
        <f>投資後權重!D143/投資後權重!$F143</f>
        <v>0.8516881139652549</v>
      </c>
      <c r="E143">
        <f>投資後權重!E143/投資後權重!$F143</f>
        <v>6.3932620903683637E-2</v>
      </c>
      <c r="F143">
        <f t="shared" si="2"/>
        <v>1</v>
      </c>
    </row>
    <row r="144" spans="1:6">
      <c r="A144" t="s">
        <v>147</v>
      </c>
      <c r="B144">
        <f>投資後權重!B144/投資後權重!$F144</f>
        <v>0</v>
      </c>
      <c r="C144">
        <f>投資後權重!C144/投資後權重!$F144</f>
        <v>8.3214049674819546E-2</v>
      </c>
      <c r="D144">
        <f>投資後權重!D144/投資後權重!$F144</f>
        <v>0.85303787442917534</v>
      </c>
      <c r="E144">
        <f>投資後權重!E144/投資後權重!$F144</f>
        <v>6.3748075896005174E-2</v>
      </c>
      <c r="F144">
        <f t="shared" si="2"/>
        <v>1</v>
      </c>
    </row>
    <row r="145" spans="1:6">
      <c r="A145" t="s">
        <v>148</v>
      </c>
      <c r="B145">
        <f>投資後權重!B145/投資後權重!$F145</f>
        <v>0</v>
      </c>
      <c r="C145">
        <f>投資後權重!C145/投資後權重!$F145</f>
        <v>8.2516385890140972E-2</v>
      </c>
      <c r="D145">
        <f>投資後權重!D145/投資後權重!$F145</f>
        <v>0.85559565968216433</v>
      </c>
      <c r="E145">
        <f>投資後權重!E145/投資後權重!$F145</f>
        <v>6.1887954427694583E-2</v>
      </c>
      <c r="F145">
        <f t="shared" si="2"/>
        <v>0.99999999999999989</v>
      </c>
    </row>
    <row r="146" spans="1:6">
      <c r="A146" t="s">
        <v>149</v>
      </c>
      <c r="B146">
        <f>投資後權重!B146/投資後權重!$F146</f>
        <v>0</v>
      </c>
      <c r="C146">
        <f>投資後權重!C146/投資後權重!$F146</f>
        <v>8.517397015632891E-2</v>
      </c>
      <c r="D146">
        <f>投資後權重!D146/投資後權重!$F146</f>
        <v>0.85094889870029511</v>
      </c>
      <c r="E146">
        <f>投資後權重!E146/投資後權重!$F146</f>
        <v>6.3877131143375912E-2</v>
      </c>
      <c r="F146">
        <f t="shared" si="2"/>
        <v>0.99999999999999989</v>
      </c>
    </row>
    <row r="147" spans="1:6">
      <c r="A147" t="s">
        <v>150</v>
      </c>
      <c r="B147">
        <f>投資後權重!B147/投資後權重!$F147</f>
        <v>0</v>
      </c>
      <c r="C147">
        <f>投資後權重!C147/投資後權重!$F147</f>
        <v>8.7374416750111136E-2</v>
      </c>
      <c r="D147">
        <f>投資後權重!D147/投資後權重!$F147</f>
        <v>0.8497217636849782</v>
      </c>
      <c r="E147">
        <f>投資後權重!E147/投資後權重!$F147</f>
        <v>6.2903819564910646E-2</v>
      </c>
      <c r="F147">
        <f t="shared" si="2"/>
        <v>1</v>
      </c>
    </row>
    <row r="148" spans="1:6">
      <c r="A148" t="s">
        <v>151</v>
      </c>
      <c r="B148">
        <f>投資後權重!B148/投資後權重!$F148</f>
        <v>0</v>
      </c>
      <c r="C148">
        <f>投資後權重!C148/投資後權重!$F148</f>
        <v>8.8673367656787419E-2</v>
      </c>
      <c r="D148">
        <f>投資後權重!D148/投資後權重!$F148</f>
        <v>0.8476938443489902</v>
      </c>
      <c r="E148">
        <f>投資後權重!E148/投資後權重!$F148</f>
        <v>6.3632787994222409E-2</v>
      </c>
      <c r="F148">
        <f t="shared" si="2"/>
        <v>1</v>
      </c>
    </row>
    <row r="149" spans="1:6">
      <c r="A149" t="s">
        <v>152</v>
      </c>
      <c r="B149">
        <f>投資後權重!B149/投資後權重!$F149</f>
        <v>0</v>
      </c>
      <c r="C149">
        <f>投資後權重!C149/投資後權重!$F149</f>
        <v>8.7240514754525766E-2</v>
      </c>
      <c r="D149">
        <f>投資後權重!D149/投資後權重!$F149</f>
        <v>0.85022278792281136</v>
      </c>
      <c r="E149">
        <f>投資後權重!E149/投資後權重!$F149</f>
        <v>6.2536697322662843E-2</v>
      </c>
      <c r="F149">
        <f t="shared" si="2"/>
        <v>1</v>
      </c>
    </row>
    <row r="150" spans="1:6">
      <c r="A150" t="s">
        <v>153</v>
      </c>
      <c r="B150">
        <f>投資後權重!B150/投資後權重!$F150</f>
        <v>0</v>
      </c>
      <c r="C150">
        <f>投資後權重!C150/投資後權重!$F150</f>
        <v>8.6191355082371565E-2</v>
      </c>
      <c r="D150">
        <f>投資後權重!D150/投資後權重!$F150</f>
        <v>0.8490847998058193</v>
      </c>
      <c r="E150">
        <f>投資後權重!E150/投資後權重!$F150</f>
        <v>6.4723845111809189E-2</v>
      </c>
      <c r="F150">
        <f t="shared" si="2"/>
        <v>1</v>
      </c>
    </row>
    <row r="151" spans="1:6">
      <c r="A151" t="s">
        <v>154</v>
      </c>
      <c r="B151">
        <f>投資後權重!B151/投資後權重!$F151</f>
        <v>0</v>
      </c>
      <c r="C151">
        <f>投資後權重!C151/投資後權重!$F151</f>
        <v>8.7054662850176115E-2</v>
      </c>
      <c r="D151">
        <f>投資後權重!D151/投資後權重!$F151</f>
        <v>0.84731457161422052</v>
      </c>
      <c r="E151">
        <f>投資後權重!E151/投資後權重!$F151</f>
        <v>6.5630765535603333E-2</v>
      </c>
      <c r="F151">
        <f t="shared" si="2"/>
        <v>1</v>
      </c>
    </row>
    <row r="152" spans="1:6">
      <c r="A152" t="s">
        <v>155</v>
      </c>
      <c r="B152">
        <f>投資後權重!B152/投資後權重!$F152</f>
        <v>0</v>
      </c>
      <c r="C152">
        <f>投資後權重!C152/投資後權重!$F152</f>
        <v>8.686482876040387E-2</v>
      </c>
      <c r="D152">
        <f>投資後權重!D152/投資後權重!$F152</f>
        <v>0.84773355852693255</v>
      </c>
      <c r="E152">
        <f>投資後權重!E152/投資後權重!$F152</f>
        <v>6.540161271266362E-2</v>
      </c>
      <c r="F152">
        <f t="shared" si="2"/>
        <v>1</v>
      </c>
    </row>
    <row r="153" spans="1:6">
      <c r="A153" t="s">
        <v>156</v>
      </c>
      <c r="B153">
        <f>投資後權重!B153/投資後權重!$F153</f>
        <v>0</v>
      </c>
      <c r="C153">
        <f>投資後權重!C153/投資後權重!$F153</f>
        <v>8.6860414733165414E-2</v>
      </c>
      <c r="D153">
        <f>投資後權重!D153/投資後權重!$F153</f>
        <v>0.84826733339658933</v>
      </c>
      <c r="E153">
        <f>投資後權重!E153/投資後權重!$F153</f>
        <v>6.4872251870245354E-2</v>
      </c>
      <c r="F153">
        <f t="shared" si="2"/>
        <v>1</v>
      </c>
    </row>
    <row r="154" spans="1:6">
      <c r="A154" t="s">
        <v>157</v>
      </c>
      <c r="B154">
        <f>投資後權重!B154/投資後權重!$F154</f>
        <v>0</v>
      </c>
      <c r="C154">
        <f>投資後權重!C154/投資後權重!$F154</f>
        <v>8.5614232233495194E-2</v>
      </c>
      <c r="D154">
        <f>投資後權重!D154/投資後權重!$F154</f>
        <v>0.84848356397995472</v>
      </c>
      <c r="E154">
        <f>投資後權重!E154/投資後權重!$F154</f>
        <v>6.5902203786550151E-2</v>
      </c>
      <c r="F154">
        <f t="shared" si="2"/>
        <v>1</v>
      </c>
    </row>
    <row r="155" spans="1:6">
      <c r="A155" t="s">
        <v>158</v>
      </c>
      <c r="B155">
        <f>投資後權重!B155/投資後權重!$F155</f>
        <v>0</v>
      </c>
      <c r="C155">
        <f>投資後權重!C155/投資後權重!$F155</f>
        <v>8.6008716168093871E-2</v>
      </c>
      <c r="D155">
        <f>投資後權重!D155/投資後權重!$F155</f>
        <v>0.84823771015073191</v>
      </c>
      <c r="E155">
        <f>投資後權重!E155/投資後權重!$F155</f>
        <v>6.5753573681174154E-2</v>
      </c>
      <c r="F155">
        <f t="shared" si="2"/>
        <v>1</v>
      </c>
    </row>
    <row r="156" spans="1:6">
      <c r="A156" t="s">
        <v>159</v>
      </c>
      <c r="B156">
        <f>投資後權重!B156/投資後權重!$F156</f>
        <v>0</v>
      </c>
      <c r="C156">
        <f>投資後權重!C156/投資後權重!$F156</f>
        <v>8.6850359130701979E-2</v>
      </c>
      <c r="D156">
        <f>投資後權重!D156/投資後權重!$F156</f>
        <v>0.848018329656687</v>
      </c>
      <c r="E156">
        <f>投資後權重!E156/投資後權重!$F156</f>
        <v>6.5131311212611065E-2</v>
      </c>
      <c r="F156">
        <f t="shared" si="2"/>
        <v>1</v>
      </c>
    </row>
    <row r="157" spans="1:6">
      <c r="A157" t="s">
        <v>160</v>
      </c>
      <c r="B157">
        <f>投資後權重!B157/投資後權重!$F157</f>
        <v>0</v>
      </c>
      <c r="C157">
        <f>投資後權重!C157/投資後權重!$F157</f>
        <v>8.6840138785418242E-2</v>
      </c>
      <c r="D157">
        <f>投資後權重!D157/投資後權重!$F157</f>
        <v>0.84776524644183204</v>
      </c>
      <c r="E157">
        <f>投資後權重!E157/投資後權重!$F157</f>
        <v>6.5394614772749701E-2</v>
      </c>
      <c r="F157">
        <f t="shared" si="2"/>
        <v>0.99999999999999989</v>
      </c>
    </row>
    <row r="158" spans="1:6">
      <c r="A158" t="s">
        <v>161</v>
      </c>
      <c r="B158">
        <f>投資後權重!B158/投資後權重!$F158</f>
        <v>0</v>
      </c>
      <c r="C158">
        <f>投資後權重!C158/投資後權重!$F158</f>
        <v>8.7353237708579723E-2</v>
      </c>
      <c r="D158">
        <f>投資後權重!D158/投資後權重!$F158</f>
        <v>0.84916782442755623</v>
      </c>
      <c r="E158">
        <f>投資後權重!E158/投資後權重!$F158</f>
        <v>6.3478937863864007E-2</v>
      </c>
      <c r="F158">
        <f t="shared" si="2"/>
        <v>1</v>
      </c>
    </row>
    <row r="159" spans="1:6">
      <c r="A159" t="s">
        <v>162</v>
      </c>
      <c r="B159">
        <f>投資後權重!B159/投資後權重!$F159</f>
        <v>0</v>
      </c>
      <c r="C159">
        <f>投資後權重!C159/投資後權重!$F159</f>
        <v>8.8324171676851027E-2</v>
      </c>
      <c r="D159">
        <f>投資後權重!D159/投資後權重!$F159</f>
        <v>0.84445458691019937</v>
      </c>
      <c r="E159">
        <f>投資後權重!E159/投資後權重!$F159</f>
        <v>6.7221241412949745E-2</v>
      </c>
      <c r="F159">
        <f t="shared" si="2"/>
        <v>1.0000000000000002</v>
      </c>
    </row>
    <row r="160" spans="1:6">
      <c r="A160" t="s">
        <v>163</v>
      </c>
      <c r="B160">
        <f>投資後權重!B160/投資後權重!$F160</f>
        <v>0</v>
      </c>
      <c r="C160">
        <f>投資後權重!C160/投資後權重!$F160</f>
        <v>8.8292586942780152E-2</v>
      </c>
      <c r="D160">
        <f>投資後權重!D160/投資後權重!$F160</f>
        <v>0.84504778759273613</v>
      </c>
      <c r="E160">
        <f>投資後權重!E160/投資後權重!$F160</f>
        <v>6.6659625464483632E-2</v>
      </c>
      <c r="F160">
        <f t="shared" si="2"/>
        <v>1</v>
      </c>
    </row>
    <row r="161" spans="1:6">
      <c r="A161" t="s">
        <v>164</v>
      </c>
      <c r="B161">
        <f>投資後權重!B161/投資後權重!$F161</f>
        <v>0</v>
      </c>
      <c r="C161">
        <f>投資後權重!C161/投資後權重!$F161</f>
        <v>8.7395031523297667E-2</v>
      </c>
      <c r="D161">
        <f>投資後權重!D161/投資後權重!$F161</f>
        <v>0.84688685996293489</v>
      </c>
      <c r="E161">
        <f>投資後權重!E161/投資後權重!$F161</f>
        <v>6.5718108513767429E-2</v>
      </c>
      <c r="F161">
        <f t="shared" si="2"/>
        <v>1</v>
      </c>
    </row>
    <row r="162" spans="1:6">
      <c r="A162" t="s">
        <v>165</v>
      </c>
      <c r="B162">
        <f>投資後權重!B162/投資後權重!$F162</f>
        <v>0</v>
      </c>
      <c r="C162">
        <f>投資後權重!C162/投資後權重!$F162</f>
        <v>8.8924605852068433E-2</v>
      </c>
      <c r="D162">
        <f>投資後權重!D162/投資後權重!$F162</f>
        <v>0.84519997917387957</v>
      </c>
      <c r="E162">
        <f>投資後權重!E162/投資後權重!$F162</f>
        <v>6.5875414974052027E-2</v>
      </c>
      <c r="F162">
        <f t="shared" si="2"/>
        <v>1</v>
      </c>
    </row>
    <row r="163" spans="1:6">
      <c r="A163" t="s">
        <v>166</v>
      </c>
      <c r="B163">
        <f>投資後權重!B163/投資後權重!$F163</f>
        <v>0</v>
      </c>
      <c r="C163">
        <f>投資後權重!C163/投資後權重!$F163</f>
        <v>9.1118373975170405E-2</v>
      </c>
      <c r="D163">
        <f>投資後權重!D163/投資後權重!$F163</f>
        <v>0.84415981180126809</v>
      </c>
      <c r="E163">
        <f>投資後權重!E163/投資後權重!$F163</f>
        <v>6.4721814223561464E-2</v>
      </c>
      <c r="F163">
        <f t="shared" si="2"/>
        <v>1</v>
      </c>
    </row>
    <row r="164" spans="1:6">
      <c r="A164" t="s">
        <v>167</v>
      </c>
      <c r="B164">
        <f>投資後權重!B164/投資後權重!$F164</f>
        <v>0</v>
      </c>
      <c r="C164">
        <f>投資後權重!C164/投資後權重!$F164</f>
        <v>8.8073606678178262E-2</v>
      </c>
      <c r="D164">
        <f>投資後權重!D164/投資後權重!$F164</f>
        <v>0.8491720160491002</v>
      </c>
      <c r="E164">
        <f>投資後權重!E164/投資後權重!$F164</f>
        <v>6.2754377272721679E-2</v>
      </c>
      <c r="F164">
        <f t="shared" si="2"/>
        <v>1.0000000000000002</v>
      </c>
    </row>
    <row r="165" spans="1:6">
      <c r="A165" t="s">
        <v>168</v>
      </c>
      <c r="B165">
        <f>投資後權重!B165/投資後權重!$F165</f>
        <v>0</v>
      </c>
      <c r="C165">
        <f>投資後權重!C165/投資後權重!$F165</f>
        <v>8.7275321373535483E-2</v>
      </c>
      <c r="D165">
        <f>投資後權重!D165/投資後權重!$F165</f>
        <v>0.84912344396610062</v>
      </c>
      <c r="E165">
        <f>投資後權重!E165/投資後權重!$F165</f>
        <v>6.3601234660363937E-2</v>
      </c>
      <c r="F165">
        <f t="shared" si="2"/>
        <v>1</v>
      </c>
    </row>
    <row r="166" spans="1:6">
      <c r="A166" t="s">
        <v>169</v>
      </c>
      <c r="B166">
        <f>投資後權重!B166/投資後權重!$F166</f>
        <v>0</v>
      </c>
      <c r="C166">
        <f>投資後權重!C166/投資後權重!$F166</f>
        <v>8.6965275382844986E-2</v>
      </c>
      <c r="D166">
        <f>投資後權重!D166/投資後權重!$F166</f>
        <v>0.85027326713287343</v>
      </c>
      <c r="E166">
        <f>投資後權重!E166/投資後權重!$F166</f>
        <v>6.2761457484281594E-2</v>
      </c>
      <c r="F166">
        <f t="shared" si="2"/>
        <v>1</v>
      </c>
    </row>
    <row r="167" spans="1:6">
      <c r="A167" t="s">
        <v>170</v>
      </c>
      <c r="B167">
        <f>投資後權重!B167/投資後權重!$F167</f>
        <v>0</v>
      </c>
      <c r="C167">
        <f>投資後權重!C167/投資後權重!$F167</f>
        <v>8.5054458335133074E-2</v>
      </c>
      <c r="D167">
        <f>投資後權重!D167/投資後權重!$F167</f>
        <v>0.85106006568648773</v>
      </c>
      <c r="E167">
        <f>投資後權重!E167/投資後權重!$F167</f>
        <v>6.3885475978379125E-2</v>
      </c>
      <c r="F167">
        <f t="shared" si="2"/>
        <v>0.99999999999999989</v>
      </c>
    </row>
    <row r="168" spans="1:6">
      <c r="A168" t="s">
        <v>171</v>
      </c>
      <c r="B168">
        <f>投資後權重!B168/投資後權重!$F168</f>
        <v>0</v>
      </c>
      <c r="C168">
        <f>投資後權重!C168/投資後權重!$F168</f>
        <v>8.5623194858583468E-2</v>
      </c>
      <c r="D168">
        <f>投資後權重!D168/投資後權重!$F168</f>
        <v>0.85138877629339305</v>
      </c>
      <c r="E168">
        <f>投資後權重!E168/投資後權重!$F168</f>
        <v>6.2988028848023514E-2</v>
      </c>
      <c r="F168">
        <f t="shared" si="2"/>
        <v>1</v>
      </c>
    </row>
    <row r="169" spans="1:6">
      <c r="A169" t="s">
        <v>172</v>
      </c>
      <c r="B169">
        <f>投資後權重!B169/投資後權重!$F169</f>
        <v>0</v>
      </c>
      <c r="C169">
        <f>投資後權重!C169/投資後權重!$F169</f>
        <v>8.5930936316854542E-2</v>
      </c>
      <c r="D169">
        <f>投資後權重!D169/投資後權重!$F169</f>
        <v>0.85125650517483931</v>
      </c>
      <c r="E169">
        <f>投資後權重!E169/投資後權重!$F169</f>
        <v>6.2812558508306082E-2</v>
      </c>
      <c r="F169">
        <f t="shared" si="2"/>
        <v>1</v>
      </c>
    </row>
    <row r="170" spans="1:6">
      <c r="A170" t="s">
        <v>173</v>
      </c>
      <c r="B170">
        <f>投資後權重!B170/投資後權重!$F170</f>
        <v>0</v>
      </c>
      <c r="C170">
        <f>投資後權重!C170/投資後權重!$F170</f>
        <v>8.4866864326275424E-2</v>
      </c>
      <c r="D170">
        <f>投資後權重!D170/投資後權重!$F170</f>
        <v>0.8541946968936347</v>
      </c>
      <c r="E170">
        <f>投資後權重!E170/投資後權重!$F170</f>
        <v>6.0938438780089796E-2</v>
      </c>
      <c r="F170">
        <f t="shared" si="2"/>
        <v>0.99999999999999989</v>
      </c>
    </row>
    <row r="171" spans="1:6">
      <c r="A171" t="s">
        <v>174</v>
      </c>
      <c r="B171">
        <f>投資後權重!B171/投資後權重!$F171</f>
        <v>0</v>
      </c>
      <c r="C171">
        <f>投資後權重!C171/投資後權重!$F171</f>
        <v>8.7044416638958566E-2</v>
      </c>
      <c r="D171">
        <f>投資後權重!D171/投資後權重!$F171</f>
        <v>0.85191002077242661</v>
      </c>
      <c r="E171">
        <f>投資後權重!E171/投資後權重!$F171</f>
        <v>6.1045562588614828E-2</v>
      </c>
      <c r="F171">
        <f t="shared" si="2"/>
        <v>1</v>
      </c>
    </row>
    <row r="172" spans="1:6">
      <c r="A172" t="s">
        <v>175</v>
      </c>
      <c r="B172">
        <f>投資後權重!B172/投資後權重!$F172</f>
        <v>0</v>
      </c>
      <c r="C172">
        <f>投資後權重!C172/投資後權重!$F172</f>
        <v>8.45330637155213E-2</v>
      </c>
      <c r="D172">
        <f>投資後權重!D172/投資後權重!$F172</f>
        <v>0.85516198764895235</v>
      </c>
      <c r="E172">
        <f>投資後權重!E172/投資後權重!$F172</f>
        <v>6.0304948635526275E-2</v>
      </c>
      <c r="F172">
        <f t="shared" si="2"/>
        <v>0.99999999999999989</v>
      </c>
    </row>
    <row r="173" spans="1:6">
      <c r="A173" t="s">
        <v>176</v>
      </c>
      <c r="B173">
        <f>投資後權重!B173/投資後權重!$F173</f>
        <v>0</v>
      </c>
      <c r="C173">
        <f>投資後權重!C173/投資後權重!$F173</f>
        <v>8.4124025958406304E-2</v>
      </c>
      <c r="D173">
        <f>投資後權重!D173/投資後權重!$F173</f>
        <v>0.85590975393484425</v>
      </c>
      <c r="E173">
        <f>投資後權重!E173/投資後權重!$F173</f>
        <v>5.9966220106749415E-2</v>
      </c>
      <c r="F173">
        <f t="shared" si="2"/>
        <v>1</v>
      </c>
    </row>
    <row r="174" spans="1:6">
      <c r="A174" t="s">
        <v>177</v>
      </c>
      <c r="B174">
        <f>投資後權重!B174/投資後權重!$F174</f>
        <v>0</v>
      </c>
      <c r="C174">
        <f>投資後權重!C174/投資後權重!$F174</f>
        <v>8.3354048515203741E-2</v>
      </c>
      <c r="D174">
        <f>投資後權重!D174/投資後權重!$F174</f>
        <v>0.85713193412421029</v>
      </c>
      <c r="E174">
        <f>投資後權重!E174/投資後權重!$F174</f>
        <v>5.951401736058589E-2</v>
      </c>
      <c r="F174">
        <f t="shared" si="2"/>
        <v>1</v>
      </c>
    </row>
    <row r="175" spans="1:6">
      <c r="A175" t="s">
        <v>178</v>
      </c>
      <c r="B175">
        <f>投資後權重!B175/投資後權重!$F175</f>
        <v>0</v>
      </c>
      <c r="C175">
        <f>投資後權重!C175/投資後權重!$F175</f>
        <v>8.4261724266597837E-2</v>
      </c>
      <c r="D175">
        <f>投資後權重!D175/投資後權重!$F175</f>
        <v>0.85552716534511475</v>
      </c>
      <c r="E175">
        <f>投資後權重!E175/投資後權重!$F175</f>
        <v>6.0211110388287338E-2</v>
      </c>
      <c r="F175">
        <f t="shared" si="2"/>
        <v>0.99999999999999989</v>
      </c>
    </row>
    <row r="176" spans="1:6">
      <c r="A176" t="s">
        <v>179</v>
      </c>
      <c r="B176">
        <f>投資後權重!B176/投資後權重!$F176</f>
        <v>0</v>
      </c>
      <c r="C176">
        <f>投資後權重!C176/投資後權重!$F176</f>
        <v>8.4584225054371298E-2</v>
      </c>
      <c r="D176">
        <f>投資後權重!D176/投資後權重!$F176</f>
        <v>0.85336895851489736</v>
      </c>
      <c r="E176">
        <f>投資後權重!E176/投資後權重!$F176</f>
        <v>6.2046816430731351E-2</v>
      </c>
      <c r="F176">
        <f t="shared" si="2"/>
        <v>1</v>
      </c>
    </row>
    <row r="177" spans="1:6">
      <c r="A177" t="s">
        <v>180</v>
      </c>
      <c r="B177">
        <f>投資後權重!B177/投資後權重!$F177</f>
        <v>0</v>
      </c>
      <c r="C177">
        <f>投資後權重!C177/投資後權重!$F177</f>
        <v>8.544626372921213E-2</v>
      </c>
      <c r="D177">
        <f>投資後權重!D177/投資後權重!$F177</f>
        <v>0.85217578248704484</v>
      </c>
      <c r="E177">
        <f>投資後權重!E177/投資後權重!$F177</f>
        <v>6.2377953783742952E-2</v>
      </c>
      <c r="F177">
        <f t="shared" si="2"/>
        <v>1</v>
      </c>
    </row>
    <row r="178" spans="1:6">
      <c r="A178" t="s">
        <v>181</v>
      </c>
      <c r="B178">
        <f>投資後權重!B178/投資後權重!$F178</f>
        <v>0</v>
      </c>
      <c r="C178">
        <f>投資後權重!C178/投資後權重!$F178</f>
        <v>8.4946116540643407E-2</v>
      </c>
      <c r="D178">
        <f>投資後權重!D178/投資後權重!$F178</f>
        <v>0.85110229316435648</v>
      </c>
      <c r="E178">
        <f>投資後權重!E178/投資後權重!$F178</f>
        <v>6.3951590295000083E-2</v>
      </c>
      <c r="F178">
        <f t="shared" si="2"/>
        <v>1</v>
      </c>
    </row>
    <row r="179" spans="1:6">
      <c r="A179" t="s">
        <v>182</v>
      </c>
      <c r="B179">
        <f>投資後權重!B179/投資後權重!$F179</f>
        <v>0</v>
      </c>
      <c r="C179">
        <f>投資後權重!C179/投資後權重!$F179</f>
        <v>8.6694305086590956E-2</v>
      </c>
      <c r="D179">
        <f>投資後權重!D179/投資後權重!$F179</f>
        <v>0.84906043943207421</v>
      </c>
      <c r="E179">
        <f>投資後權重!E179/投資後權重!$F179</f>
        <v>6.4245255481334862E-2</v>
      </c>
      <c r="F179">
        <f t="shared" si="2"/>
        <v>1</v>
      </c>
    </row>
    <row r="180" spans="1:6">
      <c r="A180" t="s">
        <v>183</v>
      </c>
      <c r="B180">
        <f>投資後權重!B180/投資後權重!$F180</f>
        <v>0</v>
      </c>
      <c r="C180">
        <f>投資後權重!C180/投資後權重!$F180</f>
        <v>8.8876912776995123E-2</v>
      </c>
      <c r="D180">
        <f>投資後權重!D180/投資後權重!$F180</f>
        <v>0.84855701841632147</v>
      </c>
      <c r="E180">
        <f>投資後權重!E180/投資後權重!$F180</f>
        <v>6.2566068806683292E-2</v>
      </c>
      <c r="F180">
        <f t="shared" si="2"/>
        <v>0.99999999999999989</v>
      </c>
    </row>
    <row r="181" spans="1:6">
      <c r="A181" t="s">
        <v>184</v>
      </c>
      <c r="B181">
        <f>投資後權重!B181/投資後權重!$F181</f>
        <v>0</v>
      </c>
      <c r="C181">
        <f>投資後權重!C181/投資後權重!$F181</f>
        <v>8.7336245497766765E-2</v>
      </c>
      <c r="D181">
        <f>投資後權重!D181/投資後權重!$F181</f>
        <v>0.84918160921288188</v>
      </c>
      <c r="E181">
        <f>投資後權重!E181/投資後權重!$F181</f>
        <v>6.348214528935138E-2</v>
      </c>
      <c r="F181">
        <f t="shared" si="2"/>
        <v>1</v>
      </c>
    </row>
    <row r="182" spans="1:6">
      <c r="A182" t="s">
        <v>185</v>
      </c>
      <c r="B182">
        <f>投資後權重!B182/投資後權重!$F182</f>
        <v>0</v>
      </c>
      <c r="C182">
        <f>投資後權重!C182/投資後權重!$F182</f>
        <v>8.9825224661651298E-2</v>
      </c>
      <c r="D182">
        <f>投資後權重!D182/投資後權重!$F182</f>
        <v>0.84619908123746845</v>
      </c>
      <c r="E182">
        <f>投資後權重!E182/投資後權重!$F182</f>
        <v>6.3975694100880234E-2</v>
      </c>
      <c r="F182">
        <f t="shared" si="2"/>
        <v>1</v>
      </c>
    </row>
    <row r="183" spans="1:6">
      <c r="A183" t="s">
        <v>186</v>
      </c>
      <c r="B183">
        <f>投資後權重!B183/投資後權重!$F183</f>
        <v>0</v>
      </c>
      <c r="C183">
        <f>投資後權重!C183/投資後權重!$F183</f>
        <v>8.9049273750465063E-2</v>
      </c>
      <c r="D183">
        <f>投資後權重!D183/投資後權重!$F183</f>
        <v>0.84763864244736864</v>
      </c>
      <c r="E183">
        <f>投資後權重!E183/投資後權重!$F183</f>
        <v>6.3312083802166394E-2</v>
      </c>
      <c r="F183">
        <f t="shared" si="2"/>
        <v>1</v>
      </c>
    </row>
    <row r="184" spans="1:6">
      <c r="A184" t="s">
        <v>187</v>
      </c>
      <c r="B184">
        <f>投資後權重!B184/投資後權重!$F184</f>
        <v>0</v>
      </c>
      <c r="C184">
        <f>投資後權重!C184/投資後權重!$F184</f>
        <v>8.7351271485863649E-2</v>
      </c>
      <c r="D184">
        <f>投資後權重!D184/投資後權重!$F184</f>
        <v>0.85068794476416287</v>
      </c>
      <c r="E184">
        <f>投資後權重!E184/投資後權重!$F184</f>
        <v>6.1960783749973471E-2</v>
      </c>
      <c r="F184">
        <f t="shared" si="2"/>
        <v>1</v>
      </c>
    </row>
    <row r="185" spans="1:6">
      <c r="A185" t="s">
        <v>188</v>
      </c>
      <c r="B185">
        <f>投資後權重!B185/投資後權重!$F185</f>
        <v>0</v>
      </c>
      <c r="C185">
        <f>投資後權重!C185/投資後權重!$F185</f>
        <v>8.8567628893305092E-2</v>
      </c>
      <c r="D185">
        <f>投資後權重!D185/投資後權重!$F185</f>
        <v>0.84918735181320659</v>
      </c>
      <c r="E185">
        <f>投資後權重!E185/投資後權重!$F185</f>
        <v>6.2245019293488357E-2</v>
      </c>
      <c r="F185">
        <f t="shared" si="2"/>
        <v>1</v>
      </c>
    </row>
    <row r="186" spans="1:6">
      <c r="A186" t="s">
        <v>189</v>
      </c>
      <c r="B186">
        <f>投資後權重!B186/投資後權重!$F186</f>
        <v>0</v>
      </c>
      <c r="C186">
        <f>投資後權重!C186/投資後權重!$F186</f>
        <v>8.6925756291548084E-2</v>
      </c>
      <c r="D186">
        <f>投資後權重!D186/投資後權重!$F186</f>
        <v>0.84960327196934893</v>
      </c>
      <c r="E186">
        <f>投資後權重!E186/投資後權重!$F186</f>
        <v>6.347097173910296E-2</v>
      </c>
      <c r="F186">
        <f t="shared" si="2"/>
        <v>1</v>
      </c>
    </row>
    <row r="187" spans="1:6">
      <c r="A187" t="s">
        <v>190</v>
      </c>
      <c r="B187">
        <f>投資後權重!B187/投資後權重!$F187</f>
        <v>0</v>
      </c>
      <c r="C187">
        <f>投資後權重!C187/投資後權重!$F187</f>
        <v>8.6571021050791036E-2</v>
      </c>
      <c r="D187">
        <f>投資後權重!D187/投資後權重!$F187</f>
        <v>0.85038806707542047</v>
      </c>
      <c r="E187">
        <f>投資後權重!E187/投資後權重!$F187</f>
        <v>6.3040911873788394E-2</v>
      </c>
      <c r="F187">
        <f t="shared" si="2"/>
        <v>0.99999999999999989</v>
      </c>
    </row>
    <row r="188" spans="1:6">
      <c r="A188" t="s">
        <v>191</v>
      </c>
      <c r="B188">
        <f>投資後權重!B188/投資後權重!$F188</f>
        <v>0</v>
      </c>
      <c r="C188">
        <f>投資後權重!C188/投資後權重!$F188</f>
        <v>8.791380222086087E-2</v>
      </c>
      <c r="D188">
        <f>投資後權重!D188/投資後權重!$F188</f>
        <v>0.85006453817137129</v>
      </c>
      <c r="E188">
        <f>投資後權重!E188/投資後權重!$F188</f>
        <v>6.2021659607767773E-2</v>
      </c>
      <c r="F188">
        <f t="shared" si="2"/>
        <v>0.99999999999999989</v>
      </c>
    </row>
    <row r="189" spans="1:6">
      <c r="A189" t="s">
        <v>192</v>
      </c>
      <c r="B189">
        <f>投資後權重!B189/投資後權重!$F189</f>
        <v>0</v>
      </c>
      <c r="C189">
        <f>投資後權重!C189/投資後權重!$F189</f>
        <v>8.9014109959992399E-2</v>
      </c>
      <c r="D189">
        <f>投資後權重!D189/投資後權重!$F189</f>
        <v>0.8487947539720172</v>
      </c>
      <c r="E189">
        <f>投資後權重!E189/投資後權重!$F189</f>
        <v>6.2191136067990427E-2</v>
      </c>
      <c r="F189">
        <f t="shared" si="2"/>
        <v>1</v>
      </c>
    </row>
    <row r="190" spans="1:6">
      <c r="A190" t="s">
        <v>193</v>
      </c>
      <c r="B190">
        <f>投資後權重!B190/投資後權重!$F190</f>
        <v>0</v>
      </c>
      <c r="C190">
        <f>投資後權重!C190/投資後權重!$F190</f>
        <v>9.1135602710171418E-2</v>
      </c>
      <c r="D190">
        <f>投資後權重!D190/投資後權重!$F190</f>
        <v>0.84625990348593283</v>
      </c>
      <c r="E190">
        <f>投資後權重!E190/投資後權重!$F190</f>
        <v>6.2604493803895794E-2</v>
      </c>
      <c r="F190">
        <f t="shared" si="2"/>
        <v>1</v>
      </c>
    </row>
    <row r="191" spans="1:6">
      <c r="A191" t="s">
        <v>194</v>
      </c>
      <c r="B191">
        <f>投資後權重!B191/投資後權重!$F191</f>
        <v>0</v>
      </c>
      <c r="C191">
        <f>投資後權重!C191/投資後權重!$F191</f>
        <v>8.704955255302825E-2</v>
      </c>
      <c r="D191">
        <f>投資後權重!D191/投資後權重!$F191</f>
        <v>0.85145085091590944</v>
      </c>
      <c r="E191">
        <f>投資後權重!E191/投資後權重!$F191</f>
        <v>6.1499596531062344E-2</v>
      </c>
      <c r="F191">
        <f t="shared" si="2"/>
        <v>1</v>
      </c>
    </row>
    <row r="192" spans="1:6">
      <c r="A192" t="s">
        <v>195</v>
      </c>
      <c r="B192">
        <f>投資後權重!B192/投資後權重!$F192</f>
        <v>0</v>
      </c>
      <c r="C192">
        <f>投資後權重!C192/投資後權重!$F192</f>
        <v>8.7902588290901473E-2</v>
      </c>
      <c r="D192">
        <f>投資後權重!D192/投資後權重!$F192</f>
        <v>0.84955893161700979</v>
      </c>
      <c r="E192">
        <f>投資後權重!E192/投資後權重!$F192</f>
        <v>6.2538480092088775E-2</v>
      </c>
      <c r="F192">
        <f t="shared" si="2"/>
        <v>1</v>
      </c>
    </row>
    <row r="193" spans="1:6">
      <c r="A193" t="s">
        <v>196</v>
      </c>
      <c r="B193">
        <f>投資後權重!B193/投資後權重!$F193</f>
        <v>0</v>
      </c>
      <c r="C193">
        <f>投資後權重!C193/投資後權重!$F193</f>
        <v>9.0792065062133401E-2</v>
      </c>
      <c r="D193">
        <f>投資後權重!D193/投資後權重!$F193</f>
        <v>0.84720885734472917</v>
      </c>
      <c r="E193">
        <f>投資後權重!E193/投資後權重!$F193</f>
        <v>6.1999077593137358E-2</v>
      </c>
      <c r="F193">
        <f t="shared" si="2"/>
        <v>1</v>
      </c>
    </row>
    <row r="194" spans="1:6">
      <c r="A194" t="s">
        <v>197</v>
      </c>
      <c r="B194">
        <f>投資後權重!B194/投資後權重!$F194</f>
        <v>0</v>
      </c>
      <c r="C194">
        <f>投資後權重!C194/投資後權重!$F194</f>
        <v>9.2115860449922427E-2</v>
      </c>
      <c r="D194">
        <f>投資後權重!D194/投資後權重!$F194</f>
        <v>0.84560575666704296</v>
      </c>
      <c r="E194">
        <f>投資後權重!E194/投資後權重!$F194</f>
        <v>6.2278382883034646E-2</v>
      </c>
      <c r="F194">
        <f t="shared" si="2"/>
        <v>1</v>
      </c>
    </row>
    <row r="195" spans="1:6">
      <c r="A195" t="s">
        <v>198</v>
      </c>
      <c r="B195">
        <f>投資後權重!B195/投資後權重!$F195</f>
        <v>0</v>
      </c>
      <c r="C195">
        <f>投資後權重!C195/投資後權重!$F195</f>
        <v>9.0500524570369625E-2</v>
      </c>
      <c r="D195">
        <f>投資後權重!D195/投資後權重!$F195</f>
        <v>0.84845339864492542</v>
      </c>
      <c r="E195">
        <f>投資後權重!E195/投資後權重!$F195</f>
        <v>6.1046076784704945E-2</v>
      </c>
      <c r="F195">
        <f t="shared" si="2"/>
        <v>1</v>
      </c>
    </row>
    <row r="196" spans="1:6">
      <c r="A196" t="s">
        <v>199</v>
      </c>
      <c r="B196">
        <f>投資後權重!B196/投資後權重!$F196</f>
        <v>0</v>
      </c>
      <c r="C196">
        <f>投資後權重!C196/投資後權重!$F196</f>
        <v>9.1684274776757349E-2</v>
      </c>
      <c r="D196">
        <f>投資後權重!D196/投資後權重!$F196</f>
        <v>0.84561390210255039</v>
      </c>
      <c r="E196">
        <f>投資後權重!E196/投資後權重!$F196</f>
        <v>6.2701823120692252E-2</v>
      </c>
      <c r="F196">
        <f t="shared" ref="F196:F259" si="3">SUM(B196:E196)</f>
        <v>1</v>
      </c>
    </row>
    <row r="197" spans="1:6">
      <c r="A197" t="s">
        <v>200</v>
      </c>
      <c r="B197">
        <f>投資後權重!B197/投資後權重!$F197</f>
        <v>0</v>
      </c>
      <c r="C197">
        <f>投資後權重!C197/投資後權重!$F197</f>
        <v>9.2310383878637353E-2</v>
      </c>
      <c r="D197">
        <f>投資後權重!D197/投資後權重!$F197</f>
        <v>0.84330135811263507</v>
      </c>
      <c r="E197">
        <f>投資後權重!E197/投資後權重!$F197</f>
        <v>6.4388258008727536E-2</v>
      </c>
      <c r="F197">
        <f t="shared" si="3"/>
        <v>0.99999999999999989</v>
      </c>
    </row>
    <row r="198" spans="1:6">
      <c r="A198" t="s">
        <v>201</v>
      </c>
      <c r="B198">
        <f>投資後權重!B198/投資後權重!$F198</f>
        <v>0</v>
      </c>
      <c r="C198">
        <f>投資後權重!C198/投資後權重!$F198</f>
        <v>9.1048912964710613E-2</v>
      </c>
      <c r="D198">
        <f>投資後權重!D198/投資後權重!$F198</f>
        <v>0.84548416994353481</v>
      </c>
      <c r="E198">
        <f>投資後權重!E198/投資後權重!$F198</f>
        <v>6.3466917091754532E-2</v>
      </c>
      <c r="F198">
        <f t="shared" si="3"/>
        <v>1</v>
      </c>
    </row>
    <row r="199" spans="1:6">
      <c r="A199" t="s">
        <v>202</v>
      </c>
      <c r="B199">
        <f>投資後權重!B199/投資後權重!$F199</f>
        <v>0</v>
      </c>
      <c r="C199">
        <f>投資後權重!C199/投資後權重!$F199</f>
        <v>9.2635919286601573E-2</v>
      </c>
      <c r="D199">
        <f>投資後權重!D199/投資後權重!$F199</f>
        <v>0.84389355915275643</v>
      </c>
      <c r="E199">
        <f>投資後權重!E199/投資後權重!$F199</f>
        <v>6.3470521560641965E-2</v>
      </c>
      <c r="F199">
        <f t="shared" si="3"/>
        <v>0.99999999999999989</v>
      </c>
    </row>
    <row r="200" spans="1:6">
      <c r="A200" t="s">
        <v>203</v>
      </c>
      <c r="B200">
        <f>投資後權重!B200/投資後權重!$F200</f>
        <v>0</v>
      </c>
      <c r="C200">
        <f>投資後權重!C200/投資後權重!$F200</f>
        <v>9.1618709532737791E-2</v>
      </c>
      <c r="D200">
        <f>投資後權重!D200/投資後權重!$F200</f>
        <v>0.84455143536767263</v>
      </c>
      <c r="E200">
        <f>投資後權重!E200/投資後權重!$F200</f>
        <v>6.3829855099589508E-2</v>
      </c>
      <c r="F200">
        <f t="shared" si="3"/>
        <v>0.99999999999999989</v>
      </c>
    </row>
    <row r="201" spans="1:6">
      <c r="A201" t="s">
        <v>204</v>
      </c>
      <c r="B201">
        <f>投資後權重!B201/投資後權重!$F201</f>
        <v>0</v>
      </c>
      <c r="C201">
        <f>投資後權重!C201/投資後權重!$F201</f>
        <v>9.2845702737103852E-2</v>
      </c>
      <c r="D201">
        <f>投資後權重!D201/投資後權重!$F201</f>
        <v>0.84403951103261965</v>
      </c>
      <c r="E201">
        <f>投資後權重!E201/投資後權重!$F201</f>
        <v>6.3114786230276484E-2</v>
      </c>
      <c r="F201">
        <f t="shared" si="3"/>
        <v>0.99999999999999989</v>
      </c>
    </row>
    <row r="202" spans="1:6">
      <c r="A202" t="s">
        <v>205</v>
      </c>
      <c r="B202">
        <f>投資後權重!B202/投資後權重!$F202</f>
        <v>0</v>
      </c>
      <c r="C202">
        <f>投資後權重!C202/投資後權重!$F202</f>
        <v>9.2120522787491263E-2</v>
      </c>
      <c r="D202">
        <f>投資後權重!D202/投資後權重!$F202</f>
        <v>0.84549943795620086</v>
      </c>
      <c r="E202">
        <f>投資後權重!E202/投資後權重!$F202</f>
        <v>6.2380039256307841E-2</v>
      </c>
      <c r="F202">
        <f t="shared" si="3"/>
        <v>1</v>
      </c>
    </row>
    <row r="203" spans="1:6">
      <c r="A203" t="s">
        <v>206</v>
      </c>
      <c r="B203">
        <f>投資後權重!B203/投資後權重!$F203</f>
        <v>0</v>
      </c>
      <c r="C203">
        <f>投資後權重!C203/投資後權重!$F203</f>
        <v>9.1125030754128977E-2</v>
      </c>
      <c r="D203">
        <f>投資後權重!D203/投資後權重!$F203</f>
        <v>0.84630533258577612</v>
      </c>
      <c r="E203">
        <f>投資後權重!E203/投資後權重!$F203</f>
        <v>6.2569636660094838E-2</v>
      </c>
      <c r="F203">
        <f t="shared" si="3"/>
        <v>0.99999999999999989</v>
      </c>
    </row>
    <row r="204" spans="1:6">
      <c r="A204" t="s">
        <v>207</v>
      </c>
      <c r="B204">
        <f>投資後權重!B204/投資後權重!$F204</f>
        <v>0</v>
      </c>
      <c r="C204">
        <f>投資後權重!C204/投資後權重!$F204</f>
        <v>9.2113561682997697E-2</v>
      </c>
      <c r="D204">
        <f>投資後權重!D204/投資後權重!$F204</f>
        <v>0.84565817713903757</v>
      </c>
      <c r="E204">
        <f>投資後權重!E204/投資後權重!$F204</f>
        <v>6.2228261177964726E-2</v>
      </c>
      <c r="F204">
        <f t="shared" si="3"/>
        <v>1</v>
      </c>
    </row>
    <row r="205" spans="1:6">
      <c r="A205" t="s">
        <v>208</v>
      </c>
      <c r="B205">
        <f>投資後權重!B205/投資後權重!$F205</f>
        <v>0</v>
      </c>
      <c r="C205">
        <f>投資後權重!C205/投資後權重!$F205</f>
        <v>9.0805167270112785E-2</v>
      </c>
      <c r="D205">
        <f>投資後權重!D205/投資後權重!$F205</f>
        <v>0.84930165558620385</v>
      </c>
      <c r="E205">
        <f>投資後權重!E205/投資後權重!$F205</f>
        <v>5.989317714368339E-2</v>
      </c>
      <c r="F205">
        <f t="shared" si="3"/>
        <v>1</v>
      </c>
    </row>
    <row r="206" spans="1:6">
      <c r="A206" t="s">
        <v>209</v>
      </c>
      <c r="B206">
        <f>投資後權重!B206/投資後權重!$F206</f>
        <v>0</v>
      </c>
      <c r="C206">
        <f>投資後權重!C206/投資後權重!$F206</f>
        <v>9.1855105771001672E-2</v>
      </c>
      <c r="D206">
        <f>投資後權重!D206/投資後權重!$F206</f>
        <v>0.84740644462373682</v>
      </c>
      <c r="E206">
        <f>投資後權重!E206/投資後權重!$F206</f>
        <v>6.0738449605261535E-2</v>
      </c>
      <c r="F206">
        <f t="shared" si="3"/>
        <v>1</v>
      </c>
    </row>
    <row r="207" spans="1:6">
      <c r="A207" t="s">
        <v>210</v>
      </c>
      <c r="B207">
        <f>投資後權重!B207/投資後權重!$F207</f>
        <v>0</v>
      </c>
      <c r="C207">
        <f>投資後權重!C207/投資後權重!$F207</f>
        <v>9.2232023509336264E-2</v>
      </c>
      <c r="D207">
        <f>投資後權重!D207/投資後權重!$F207</f>
        <v>0.84652281249641181</v>
      </c>
      <c r="E207">
        <f>投資後權重!E207/投資後權重!$F207</f>
        <v>6.1245163994251901E-2</v>
      </c>
      <c r="F207">
        <f t="shared" si="3"/>
        <v>1</v>
      </c>
    </row>
    <row r="208" spans="1:6">
      <c r="A208" t="s">
        <v>211</v>
      </c>
      <c r="B208">
        <f>投資後權重!B208/投資後權重!$F208</f>
        <v>0</v>
      </c>
      <c r="C208">
        <f>投資後權重!C208/投資後權重!$F208</f>
        <v>9.3604644449526139E-2</v>
      </c>
      <c r="D208">
        <f>投資後權重!D208/投資後權重!$F208</f>
        <v>0.84487382377026321</v>
      </c>
      <c r="E208">
        <f>投資後權重!E208/投資後權重!$F208</f>
        <v>6.1521531780210671E-2</v>
      </c>
      <c r="F208">
        <f t="shared" si="3"/>
        <v>1</v>
      </c>
    </row>
    <row r="209" spans="1:6">
      <c r="A209" t="s">
        <v>212</v>
      </c>
      <c r="B209">
        <f>投資後權重!B209/投資後權重!$F209</f>
        <v>0</v>
      </c>
      <c r="C209">
        <f>投資後權重!C209/投資後權重!$F209</f>
        <v>9.2507291305353345E-2</v>
      </c>
      <c r="D209">
        <f>投資後權重!D209/投資後權重!$F209</f>
        <v>0.8468126680039626</v>
      </c>
      <c r="E209">
        <f>投資後權重!E209/投資後權重!$F209</f>
        <v>6.0680040690684042E-2</v>
      </c>
      <c r="F209">
        <f t="shared" si="3"/>
        <v>1</v>
      </c>
    </row>
    <row r="210" spans="1:6">
      <c r="A210" t="s">
        <v>213</v>
      </c>
      <c r="B210">
        <f>投資後權重!B210/投資後權重!$F210</f>
        <v>0</v>
      </c>
      <c r="C210">
        <f>投資後權重!C210/投資後權重!$F210</f>
        <v>9.0561561315824823E-2</v>
      </c>
      <c r="D210">
        <f>投資後權重!D210/投資後權重!$F210</f>
        <v>0.84702320661124653</v>
      </c>
      <c r="E210">
        <f>投資後權重!E210/投資後權重!$F210</f>
        <v>6.2415232072928699E-2</v>
      </c>
      <c r="F210">
        <f t="shared" si="3"/>
        <v>1</v>
      </c>
    </row>
    <row r="211" spans="1:6">
      <c r="A211" t="s">
        <v>214</v>
      </c>
      <c r="B211">
        <f>投資後權重!B211/投資後權重!$F211</f>
        <v>0</v>
      </c>
      <c r="C211">
        <f>投資後權重!C211/投資後權重!$F211</f>
        <v>8.9635009393878598E-2</v>
      </c>
      <c r="D211">
        <f>投資後權重!D211/投資後權重!$F211</f>
        <v>0.84870724539397657</v>
      </c>
      <c r="E211">
        <f>投資後權重!E211/投資後權重!$F211</f>
        <v>6.1657745212144774E-2</v>
      </c>
      <c r="F211">
        <f t="shared" si="3"/>
        <v>0.99999999999999989</v>
      </c>
    </row>
    <row r="212" spans="1:6">
      <c r="A212" t="s">
        <v>215</v>
      </c>
      <c r="B212">
        <f>投資後權重!B212/投資後權重!$F212</f>
        <v>0</v>
      </c>
      <c r="C212">
        <f>投資後權重!C212/投資後權重!$F212</f>
        <v>8.873768333428908E-2</v>
      </c>
      <c r="D212">
        <f>投資後權重!D212/投資後權重!$F212</f>
        <v>0.84831747964463122</v>
      </c>
      <c r="E212">
        <f>投資後權重!E212/投資後權重!$F212</f>
        <v>6.2944837021079683E-2</v>
      </c>
      <c r="F212">
        <f t="shared" si="3"/>
        <v>1</v>
      </c>
    </row>
    <row r="213" spans="1:6">
      <c r="A213" t="s">
        <v>216</v>
      </c>
      <c r="B213">
        <f>投資後權重!B213/投資後權重!$F213</f>
        <v>0</v>
      </c>
      <c r="C213">
        <f>投資後權重!C213/投資後權重!$F213</f>
        <v>9.0885281460471729E-2</v>
      </c>
      <c r="D213">
        <f>投資後權重!D213/投資後權重!$F213</f>
        <v>0.84592450343334646</v>
      </c>
      <c r="E213">
        <f>投資後權重!E213/投資後權重!$F213</f>
        <v>6.3190215106181793E-2</v>
      </c>
      <c r="F213">
        <f t="shared" si="3"/>
        <v>1</v>
      </c>
    </row>
    <row r="214" spans="1:6">
      <c r="A214" t="s">
        <v>217</v>
      </c>
      <c r="B214">
        <f>投資後權重!B214/投資後權重!$F214</f>
        <v>0</v>
      </c>
      <c r="C214">
        <f>投資後權重!C214/投資後權重!$F214</f>
        <v>9.0648184728234771E-2</v>
      </c>
      <c r="D214">
        <f>投資後權重!D214/投資後權重!$F214</f>
        <v>0.84573998047771493</v>
      </c>
      <c r="E214">
        <f>投資後權重!E214/投資後權重!$F214</f>
        <v>6.361183479405029E-2</v>
      </c>
      <c r="F214">
        <f t="shared" si="3"/>
        <v>1</v>
      </c>
    </row>
    <row r="215" spans="1:6">
      <c r="A215" t="s">
        <v>218</v>
      </c>
      <c r="B215">
        <f>投資後權重!B215/投資後權重!$F215</f>
        <v>0</v>
      </c>
      <c r="C215">
        <f>投資後權重!C215/投資後權重!$F215</f>
        <v>8.8430642199307352E-2</v>
      </c>
      <c r="D215">
        <f>投資後權重!D215/投資後權重!$F215</f>
        <v>0.84746443972096763</v>
      </c>
      <c r="E215">
        <f>投資後權重!E215/投資後權重!$F215</f>
        <v>6.4104918079725015E-2</v>
      </c>
      <c r="F215">
        <f t="shared" si="3"/>
        <v>1</v>
      </c>
    </row>
    <row r="216" spans="1:6">
      <c r="A216" t="s">
        <v>219</v>
      </c>
      <c r="B216">
        <f>投資後權重!B216/投資後權重!$F216</f>
        <v>0</v>
      </c>
      <c r="C216">
        <f>投資後權重!C216/投資後權重!$F216</f>
        <v>9.2283749615821586E-2</v>
      </c>
      <c r="D216">
        <f>投資後權重!D216/投資後權重!$F216</f>
        <v>0.84467912293190617</v>
      </c>
      <c r="E216">
        <f>投資後權重!E216/投資後權重!$F216</f>
        <v>6.3037127452272121E-2</v>
      </c>
      <c r="F216">
        <f t="shared" si="3"/>
        <v>0.99999999999999978</v>
      </c>
    </row>
    <row r="217" spans="1:6">
      <c r="A217" t="s">
        <v>220</v>
      </c>
      <c r="B217">
        <f>投資後權重!B217/投資後權重!$F217</f>
        <v>0</v>
      </c>
      <c r="C217">
        <f>投資後權重!C217/投資後權重!$F217</f>
        <v>9.0579861196620814E-2</v>
      </c>
      <c r="D217">
        <f>投資後權重!D217/投資後權重!$F217</f>
        <v>0.84510252764325866</v>
      </c>
      <c r="E217">
        <f>投資後權重!E217/投資後權重!$F217</f>
        <v>6.4317611160120455E-2</v>
      </c>
      <c r="F217">
        <f t="shared" si="3"/>
        <v>1</v>
      </c>
    </row>
    <row r="218" spans="1:6">
      <c r="A218" t="s">
        <v>221</v>
      </c>
      <c r="B218">
        <f>投資後權重!B218/投資後權重!$F218</f>
        <v>0</v>
      </c>
      <c r="C218">
        <f>投資後權重!C218/投資後權重!$F218</f>
        <v>8.9013907387738039E-2</v>
      </c>
      <c r="D218">
        <f>投資後權重!D218/投資後權重!$F218</f>
        <v>0.84737708258274969</v>
      </c>
      <c r="E218">
        <f>投資後權重!E218/投資後權重!$F218</f>
        <v>6.3609010029512358E-2</v>
      </c>
      <c r="F218">
        <f t="shared" si="3"/>
        <v>1</v>
      </c>
    </row>
    <row r="219" spans="1:6">
      <c r="A219" t="s">
        <v>222</v>
      </c>
      <c r="B219">
        <f>投資後權重!B219/投資後權重!$F219</f>
        <v>0</v>
      </c>
      <c r="C219">
        <f>投資後權重!C219/投資後權重!$F219</f>
        <v>8.8204711160228544E-2</v>
      </c>
      <c r="D219">
        <f>投資後權重!D219/投資後權重!$F219</f>
        <v>0.84818870678682667</v>
      </c>
      <c r="E219">
        <f>投資後權重!E219/投資後權重!$F219</f>
        <v>6.3606582052944796E-2</v>
      </c>
      <c r="F219">
        <f t="shared" si="3"/>
        <v>1</v>
      </c>
    </row>
    <row r="220" spans="1:6">
      <c r="A220" t="s">
        <v>223</v>
      </c>
      <c r="B220">
        <f>投資後權重!B220/投資後權重!$F220</f>
        <v>0</v>
      </c>
      <c r="C220">
        <f>投資後權重!C220/投資後權重!$F220</f>
        <v>8.8879817345305229E-2</v>
      </c>
      <c r="D220">
        <f>投資後權重!D220/投資後權重!$F220</f>
        <v>0.84702676496235285</v>
      </c>
      <c r="E220">
        <f>投資後權重!E220/投資後權重!$F220</f>
        <v>6.4093417692341947E-2</v>
      </c>
      <c r="F220">
        <f t="shared" si="3"/>
        <v>1</v>
      </c>
    </row>
    <row r="221" spans="1:6">
      <c r="A221" t="s">
        <v>224</v>
      </c>
      <c r="B221">
        <f>投資後權重!B221/投資後權重!$F221</f>
        <v>0</v>
      </c>
      <c r="C221">
        <f>投資後權重!C221/投資後權重!$F221</f>
        <v>8.5993902820462237E-2</v>
      </c>
      <c r="D221">
        <f>投資後權重!D221/投資後權重!$F221</f>
        <v>0.84944123966673668</v>
      </c>
      <c r="E221">
        <f>投資後權重!E221/投資後權重!$F221</f>
        <v>6.4564857512800986E-2</v>
      </c>
      <c r="F221">
        <f t="shared" si="3"/>
        <v>0.99999999999999989</v>
      </c>
    </row>
    <row r="222" spans="1:6">
      <c r="A222" t="s">
        <v>225</v>
      </c>
      <c r="B222">
        <f>投資後權重!B222/投資後權重!$F222</f>
        <v>0</v>
      </c>
      <c r="C222">
        <f>投資後權重!C222/投資後權重!$F222</f>
        <v>8.4782141750062393E-2</v>
      </c>
      <c r="D222">
        <f>投資後權重!D222/投資後權重!$F222</f>
        <v>0.8514824320356319</v>
      </c>
      <c r="E222">
        <f>投資後權重!E222/投資後權重!$F222</f>
        <v>6.3735426214305779E-2</v>
      </c>
      <c r="F222">
        <f t="shared" si="3"/>
        <v>1</v>
      </c>
    </row>
    <row r="223" spans="1:6">
      <c r="A223" t="s">
        <v>226</v>
      </c>
      <c r="B223">
        <f>投資後權重!B223/投資後權重!$F223</f>
        <v>0</v>
      </c>
      <c r="C223">
        <f>投資後權重!C223/投資後權重!$F223</f>
        <v>8.5501870049547873E-2</v>
      </c>
      <c r="D223">
        <f>投資後權重!D223/投資後權重!$F223</f>
        <v>0.85142174425504891</v>
      </c>
      <c r="E223">
        <f>投資後權重!E223/投資後權重!$F223</f>
        <v>6.3076385695403192E-2</v>
      </c>
      <c r="F223">
        <f t="shared" si="3"/>
        <v>1</v>
      </c>
    </row>
    <row r="224" spans="1:6">
      <c r="A224" t="s">
        <v>227</v>
      </c>
      <c r="B224">
        <f>投資後權重!B224/投資後權重!$F224</f>
        <v>0</v>
      </c>
      <c r="C224">
        <f>投資後權重!C224/投資後權重!$F224</f>
        <v>8.4367060927632104E-2</v>
      </c>
      <c r="D224">
        <f>投資後權重!D224/投資後權重!$F224</f>
        <v>0.85253008030295174</v>
      </c>
      <c r="E224">
        <f>投資後權重!E224/投資後權重!$F224</f>
        <v>6.310285876941607E-2</v>
      </c>
      <c r="F224">
        <f t="shared" si="3"/>
        <v>1</v>
      </c>
    </row>
    <row r="225" spans="1:6">
      <c r="A225" t="s">
        <v>228</v>
      </c>
      <c r="B225">
        <f>投資後權重!B225/投資後權重!$F225</f>
        <v>0</v>
      </c>
      <c r="C225">
        <f>投資後權重!C225/投資後權重!$F225</f>
        <v>8.4731700687796924E-2</v>
      </c>
      <c r="D225">
        <f>投資後權重!D225/投資後權重!$F225</f>
        <v>0.85253407135843728</v>
      </c>
      <c r="E225">
        <f>投資後權重!E225/投資後權重!$F225</f>
        <v>6.2734227953765806E-2</v>
      </c>
      <c r="F225">
        <f t="shared" si="3"/>
        <v>1</v>
      </c>
    </row>
    <row r="226" spans="1:6">
      <c r="A226" t="s">
        <v>229</v>
      </c>
      <c r="B226">
        <f>投資後權重!B226/投資後權重!$F226</f>
        <v>0</v>
      </c>
      <c r="C226">
        <f>投資後權重!C226/投資後權重!$F226</f>
        <v>8.2811674327549281E-2</v>
      </c>
      <c r="D226">
        <f>投資後權重!D226/投資後權重!$F226</f>
        <v>0.85397827401299253</v>
      </c>
      <c r="E226">
        <f>投資後權重!E226/投資後權重!$F226</f>
        <v>6.3210051659458116E-2</v>
      </c>
      <c r="F226">
        <f t="shared" si="3"/>
        <v>1</v>
      </c>
    </row>
    <row r="227" spans="1:6">
      <c r="A227" t="s">
        <v>230</v>
      </c>
      <c r="B227">
        <f>投資後權重!B227/投資後權重!$F227</f>
        <v>0</v>
      </c>
      <c r="C227">
        <f>投資後權重!C227/投資後權重!$F227</f>
        <v>8.2197312183354354E-2</v>
      </c>
      <c r="D227">
        <f>投資後權重!D227/投資後權重!$F227</f>
        <v>0.8528789568911388</v>
      </c>
      <c r="E227">
        <f>投資後權重!E227/投資後權重!$F227</f>
        <v>6.492373092550692E-2</v>
      </c>
      <c r="F227">
        <f t="shared" si="3"/>
        <v>1</v>
      </c>
    </row>
    <row r="228" spans="1:6">
      <c r="A228" t="s">
        <v>231</v>
      </c>
      <c r="B228">
        <f>投資後權重!B228/投資後權重!$F228</f>
        <v>0</v>
      </c>
      <c r="C228">
        <f>投資後權重!C228/投資後權重!$F228</f>
        <v>8.2337486802723611E-2</v>
      </c>
      <c r="D228">
        <f>投資後權重!D228/投資後權重!$F228</f>
        <v>0.8515957722070806</v>
      </c>
      <c r="E228">
        <f>投資後權重!E228/投資後權重!$F228</f>
        <v>6.6066740990195841E-2</v>
      </c>
      <c r="F228">
        <f t="shared" si="3"/>
        <v>1</v>
      </c>
    </row>
    <row r="229" spans="1:6">
      <c r="A229" t="s">
        <v>232</v>
      </c>
      <c r="B229">
        <f>投資後權重!B229/投資後權重!$F229</f>
        <v>0</v>
      </c>
      <c r="C229">
        <f>投資後權重!C229/投資後權重!$F229</f>
        <v>8.1027877861910499E-2</v>
      </c>
      <c r="D229">
        <f>投資後權重!D229/投資後權重!$F229</f>
        <v>0.85233511099858628</v>
      </c>
      <c r="E229">
        <f>投資後權重!E229/投資後權重!$F229</f>
        <v>6.6637011139503308E-2</v>
      </c>
      <c r="F229">
        <f t="shared" si="3"/>
        <v>1</v>
      </c>
    </row>
    <row r="230" spans="1:6">
      <c r="A230" t="s">
        <v>233</v>
      </c>
      <c r="B230">
        <f>投資後權重!B230/投資後權重!$F230</f>
        <v>0</v>
      </c>
      <c r="C230">
        <f>投資後權重!C230/投資後權重!$F230</f>
        <v>7.9800336585382672E-2</v>
      </c>
      <c r="D230">
        <f>投資後權重!D230/投資後權重!$F230</f>
        <v>0.85242641338587566</v>
      </c>
      <c r="E230">
        <f>投資後權重!E230/投資後權重!$F230</f>
        <v>6.7773250028741641E-2</v>
      </c>
      <c r="F230">
        <f t="shared" si="3"/>
        <v>1</v>
      </c>
    </row>
    <row r="231" spans="1:6">
      <c r="A231" t="s">
        <v>234</v>
      </c>
      <c r="B231">
        <f>投資後權重!B231/投資後權重!$F231</f>
        <v>0</v>
      </c>
      <c r="C231">
        <f>投資後權重!C231/投資後權重!$F231</f>
        <v>7.6884519251475186E-2</v>
      </c>
      <c r="D231">
        <f>投資後權重!D231/投資後權重!$F231</f>
        <v>0.85739047974958504</v>
      </c>
      <c r="E231">
        <f>投資後權重!E231/投資後權重!$F231</f>
        <v>6.5725000998939853E-2</v>
      </c>
      <c r="F231">
        <f t="shared" si="3"/>
        <v>1</v>
      </c>
    </row>
    <row r="232" spans="1:6">
      <c r="A232" t="s">
        <v>235</v>
      </c>
      <c r="B232">
        <f>投資後權重!B232/投資後權重!$F232</f>
        <v>0</v>
      </c>
      <c r="C232">
        <f>投資後權重!C232/投資後權重!$F232</f>
        <v>7.7740878521110099E-2</v>
      </c>
      <c r="D232">
        <f>投資後權重!D232/投資後權重!$F232</f>
        <v>0.85425636273407568</v>
      </c>
      <c r="E232">
        <f>投資後權重!E232/投資後權重!$F232</f>
        <v>6.800275874481429E-2</v>
      </c>
      <c r="F232">
        <f t="shared" si="3"/>
        <v>1</v>
      </c>
    </row>
    <row r="233" spans="1:6">
      <c r="A233" t="s">
        <v>236</v>
      </c>
      <c r="B233">
        <f>投資後權重!B233/投資後權重!$F233</f>
        <v>0</v>
      </c>
      <c r="C233">
        <f>投資後權重!C233/投資後權重!$F233</f>
        <v>7.7729432347019664E-2</v>
      </c>
      <c r="D233">
        <f>投資後權重!D233/投資後權重!$F233</f>
        <v>0.85506723928442041</v>
      </c>
      <c r="E233">
        <f>投資後權重!E233/投資後權重!$F233</f>
        <v>6.7203328368559939E-2</v>
      </c>
      <c r="F233">
        <f t="shared" si="3"/>
        <v>1</v>
      </c>
    </row>
    <row r="234" spans="1:6">
      <c r="A234" t="s">
        <v>237</v>
      </c>
      <c r="B234">
        <f>投資後權重!B234/投資後權重!$F234</f>
        <v>0</v>
      </c>
      <c r="C234">
        <f>投資後權重!C234/投資後權重!$F234</f>
        <v>7.7282417833926656E-2</v>
      </c>
      <c r="D234">
        <f>投資後權重!D234/投資後權重!$F234</f>
        <v>0.85460869518948912</v>
      </c>
      <c r="E234">
        <f>投資後權重!E234/投資後權重!$F234</f>
        <v>6.8108886976584251E-2</v>
      </c>
      <c r="F234">
        <f t="shared" si="3"/>
        <v>1</v>
      </c>
    </row>
    <row r="235" spans="1:6">
      <c r="A235" t="s">
        <v>238</v>
      </c>
      <c r="B235">
        <f>投資後權重!B235/投資後權重!$F235</f>
        <v>0</v>
      </c>
      <c r="C235">
        <f>投資後權重!C235/投資後權重!$F235</f>
        <v>7.9622803558356561E-2</v>
      </c>
      <c r="D235">
        <f>投資後權重!D235/投資後權重!$F235</f>
        <v>0.85168822654566689</v>
      </c>
      <c r="E235">
        <f>投資後權重!E235/投資後權重!$F235</f>
        <v>6.8688969895976601E-2</v>
      </c>
      <c r="F235">
        <f t="shared" si="3"/>
        <v>1</v>
      </c>
    </row>
    <row r="236" spans="1:6">
      <c r="A236" t="s">
        <v>239</v>
      </c>
      <c r="B236">
        <f>投資後權重!B236/投資後權重!$F236</f>
        <v>0</v>
      </c>
      <c r="C236">
        <f>投資後權重!C236/投資後權重!$F236</f>
        <v>7.8463987129079829E-2</v>
      </c>
      <c r="D236">
        <f>投資後權重!D236/投資後權重!$F236</f>
        <v>0.85453846858231619</v>
      </c>
      <c r="E236">
        <f>投資後權重!E236/投資後權重!$F236</f>
        <v>6.6997544288604008E-2</v>
      </c>
      <c r="F236">
        <f t="shared" si="3"/>
        <v>1</v>
      </c>
    </row>
    <row r="237" spans="1:6">
      <c r="A237" t="s">
        <v>240</v>
      </c>
      <c r="B237">
        <f>投資後權重!B237/投資後權重!$F237</f>
        <v>0</v>
      </c>
      <c r="C237">
        <f>投資後權重!C237/投資後權重!$F237</f>
        <v>7.8482633028662194E-2</v>
      </c>
      <c r="D237">
        <f>投資後權重!D237/投資後權重!$F237</f>
        <v>0.85474153802929997</v>
      </c>
      <c r="E237">
        <f>投資後權重!E237/投資後權重!$F237</f>
        <v>6.6775828942037874E-2</v>
      </c>
      <c r="F237">
        <f t="shared" si="3"/>
        <v>1</v>
      </c>
    </row>
    <row r="238" spans="1:6">
      <c r="A238" t="s">
        <v>241</v>
      </c>
      <c r="B238">
        <f>投資後權重!B238/投資後權重!$F238</f>
        <v>0</v>
      </c>
      <c r="C238">
        <f>投資後權重!C238/投資後權重!$F238</f>
        <v>7.8543019322332305E-2</v>
      </c>
      <c r="D238">
        <f>投資後權重!D238/投資後權重!$F238</f>
        <v>0.85475155167425454</v>
      </c>
      <c r="E238">
        <f>投資後權重!E238/投資後權重!$F238</f>
        <v>6.6705429003413086E-2</v>
      </c>
      <c r="F238">
        <f t="shared" si="3"/>
        <v>1</v>
      </c>
    </row>
    <row r="239" spans="1:6">
      <c r="A239" t="s">
        <v>242</v>
      </c>
      <c r="B239">
        <f>投資後權重!B239/投資後權重!$F239</f>
        <v>0</v>
      </c>
      <c r="C239">
        <f>投資後權重!C239/投資後權重!$F239</f>
        <v>7.8893612454907405E-2</v>
      </c>
      <c r="D239">
        <f>投資後權重!D239/投資後權重!$F239</f>
        <v>0.85398788979003648</v>
      </c>
      <c r="E239">
        <f>投資後權重!E239/投資後權重!$F239</f>
        <v>6.7118497755056114E-2</v>
      </c>
      <c r="F239">
        <f t="shared" si="3"/>
        <v>1</v>
      </c>
    </row>
    <row r="240" spans="1:6">
      <c r="A240" t="s">
        <v>243</v>
      </c>
      <c r="B240">
        <f>投資後權重!B240/投資後權重!$F240</f>
        <v>0</v>
      </c>
      <c r="C240">
        <f>投資後權重!C240/投資後權重!$F240</f>
        <v>7.8161192242144198E-2</v>
      </c>
      <c r="D240">
        <f>投資後權重!D240/投資後權重!$F240</f>
        <v>0.85451608228753828</v>
      </c>
      <c r="E240">
        <f>投資後權重!E240/投資後權重!$F240</f>
        <v>6.7322725470317438E-2</v>
      </c>
      <c r="F240">
        <f t="shared" si="3"/>
        <v>1</v>
      </c>
    </row>
    <row r="241" spans="1:6">
      <c r="A241" t="s">
        <v>244</v>
      </c>
      <c r="B241">
        <f>投資後權重!B241/投資後權重!$F241</f>
        <v>0</v>
      </c>
      <c r="C241">
        <f>投資後權重!C241/投資後權重!$F241</f>
        <v>7.7617885422611207E-2</v>
      </c>
      <c r="D241">
        <f>投資後權重!D241/投資後權重!$F241</f>
        <v>0.85545659743648772</v>
      </c>
      <c r="E241">
        <f>投資後權重!E241/投資後權重!$F241</f>
        <v>6.6925517140901086E-2</v>
      </c>
      <c r="F241">
        <f t="shared" si="3"/>
        <v>1</v>
      </c>
    </row>
    <row r="242" spans="1:6">
      <c r="A242" t="s">
        <v>245</v>
      </c>
      <c r="B242">
        <f>投資後權重!B242/投資後權重!$F242</f>
        <v>0</v>
      </c>
      <c r="C242">
        <f>投資後權重!C242/投資後權重!$F242</f>
        <v>7.8169788067894597E-2</v>
      </c>
      <c r="D242">
        <f>投資後權重!D242/投資後權重!$F242</f>
        <v>0.85430112708646799</v>
      </c>
      <c r="E242">
        <f>投資後權重!E242/投資後權重!$F242</f>
        <v>6.7529084845637424E-2</v>
      </c>
      <c r="F242">
        <f t="shared" si="3"/>
        <v>1</v>
      </c>
    </row>
    <row r="243" spans="1:6">
      <c r="A243" t="s">
        <v>246</v>
      </c>
      <c r="B243">
        <f>投資後權重!B243/投資後權重!$F243</f>
        <v>0</v>
      </c>
      <c r="C243">
        <f>投資後權重!C243/投資後權重!$F243</f>
        <v>7.8449315315871224E-2</v>
      </c>
      <c r="D243">
        <f>投資後權重!D243/投資後權重!$F243</f>
        <v>0.85636182712153064</v>
      </c>
      <c r="E243">
        <f>投資後權重!E243/投資後權重!$F243</f>
        <v>6.5188857562598165E-2</v>
      </c>
      <c r="F243">
        <f t="shared" si="3"/>
        <v>1</v>
      </c>
    </row>
    <row r="244" spans="1:6">
      <c r="A244" t="s">
        <v>247</v>
      </c>
      <c r="B244">
        <f>投資後權重!B244/投資後權重!$F244</f>
        <v>0</v>
      </c>
      <c r="C244">
        <f>投資後權重!C244/投資後權重!$F244</f>
        <v>7.7177804993596999E-2</v>
      </c>
      <c r="D244">
        <f>投資後權重!D244/投資後權重!$F244</f>
        <v>0.85743995251130123</v>
      </c>
      <c r="E244">
        <f>投資後權重!E244/投資後權重!$F244</f>
        <v>6.5382242495101814E-2</v>
      </c>
      <c r="F244">
        <f t="shared" si="3"/>
        <v>1</v>
      </c>
    </row>
    <row r="245" spans="1:6">
      <c r="A245" t="s">
        <v>248</v>
      </c>
      <c r="B245">
        <f>投資後權重!B245/投資後權重!$F245</f>
        <v>0</v>
      </c>
      <c r="C245">
        <f>投資後權重!C245/投資後權重!$F245</f>
        <v>7.5336748687557256E-2</v>
      </c>
      <c r="D245">
        <f>投資後權重!D245/投資後權重!$F245</f>
        <v>0.85929924246754397</v>
      </c>
      <c r="E245">
        <f>投資後權重!E245/投資後權重!$F245</f>
        <v>6.536400884489868E-2</v>
      </c>
      <c r="F245">
        <f t="shared" si="3"/>
        <v>0.99999999999999989</v>
      </c>
    </row>
    <row r="246" spans="1:6">
      <c r="A246" t="s">
        <v>249</v>
      </c>
      <c r="B246">
        <f>投資後權重!B246/投資後權重!$F246</f>
        <v>0</v>
      </c>
      <c r="C246">
        <f>投資後權重!C246/投資後權重!$F246</f>
        <v>7.688700632865593E-2</v>
      </c>
      <c r="D246">
        <f>投資後權重!D246/投資後權重!$F246</f>
        <v>0.85538020886013</v>
      </c>
      <c r="E246">
        <f>投資後權重!E246/投資後權重!$F246</f>
        <v>6.7732784811214169E-2</v>
      </c>
      <c r="F246">
        <f t="shared" si="3"/>
        <v>1.0000000000000002</v>
      </c>
    </row>
    <row r="247" spans="1:6">
      <c r="A247" t="s">
        <v>250</v>
      </c>
      <c r="B247">
        <f>投資後權重!B247/投資後權重!$F247</f>
        <v>0</v>
      </c>
      <c r="C247">
        <f>投資後權重!C247/投資後權重!$F247</f>
        <v>7.7681230849847197E-2</v>
      </c>
      <c r="D247">
        <f>投資後權重!D247/投資後權重!$F247</f>
        <v>0.85408664421291902</v>
      </c>
      <c r="E247">
        <f>投資後權重!E247/投資後權重!$F247</f>
        <v>6.823212493723381E-2</v>
      </c>
      <c r="F247">
        <f t="shared" si="3"/>
        <v>1</v>
      </c>
    </row>
    <row r="248" spans="1:6">
      <c r="A248" t="s">
        <v>251</v>
      </c>
      <c r="B248">
        <f>投資後權重!B248/投資後權重!$F248</f>
        <v>0</v>
      </c>
      <c r="C248">
        <f>投資後權重!C248/投資後權重!$F248</f>
        <v>7.6173065776735743E-2</v>
      </c>
      <c r="D248">
        <f>投資後權重!D248/投資後權重!$F248</f>
        <v>0.85649421551556848</v>
      </c>
      <c r="E248">
        <f>投資後權重!E248/投資後權重!$F248</f>
        <v>6.7332718707695721E-2</v>
      </c>
      <c r="F248">
        <f t="shared" si="3"/>
        <v>1</v>
      </c>
    </row>
    <row r="249" spans="1:6">
      <c r="A249" t="s">
        <v>252</v>
      </c>
      <c r="B249">
        <f>投資後權重!B249/投資後權重!$F249</f>
        <v>0</v>
      </c>
      <c r="C249">
        <f>投資後權重!C249/投資後權重!$F249</f>
        <v>7.5507574852691633E-2</v>
      </c>
      <c r="D249">
        <f>投資後權重!D249/投資後權重!$F249</f>
        <v>0.85602802144014467</v>
      </c>
      <c r="E249">
        <f>投資後權重!E249/投資後權重!$F249</f>
        <v>6.8464403707163807E-2</v>
      </c>
      <c r="F249">
        <f t="shared" si="3"/>
        <v>1.0000000000000002</v>
      </c>
    </row>
    <row r="250" spans="1:6">
      <c r="A250" t="s">
        <v>253</v>
      </c>
      <c r="B250">
        <f>投資後權重!B250/投資後權重!$F250</f>
        <v>0</v>
      </c>
      <c r="C250">
        <f>投資後權重!C250/投資後權重!$F250</f>
        <v>7.3336286046952942E-2</v>
      </c>
      <c r="D250">
        <f>投資後權重!D250/投資後權重!$F250</f>
        <v>0.85989347952669037</v>
      </c>
      <c r="E250">
        <f>投資後權重!E250/投資後權重!$F250</f>
        <v>6.6770234426356698E-2</v>
      </c>
      <c r="F250">
        <f t="shared" si="3"/>
        <v>1</v>
      </c>
    </row>
    <row r="251" spans="1:6">
      <c r="A251" t="s">
        <v>254</v>
      </c>
      <c r="B251">
        <f>投資後權重!B251/投資後權重!$F251</f>
        <v>0</v>
      </c>
      <c r="C251">
        <f>投資後權重!C251/投資後權重!$F251</f>
        <v>7.3606188368530501E-2</v>
      </c>
      <c r="D251">
        <f>投資後權重!D251/投資後權重!$F251</f>
        <v>0.86005613668272152</v>
      </c>
      <c r="E251">
        <f>投資後權重!E251/投資後權重!$F251</f>
        <v>6.6337674948748024E-2</v>
      </c>
      <c r="F251">
        <f t="shared" si="3"/>
        <v>1</v>
      </c>
    </row>
    <row r="252" spans="1:6">
      <c r="A252" t="s">
        <v>255</v>
      </c>
      <c r="B252">
        <f>投資後權重!B252/投資後權重!$F252</f>
        <v>0</v>
      </c>
      <c r="C252">
        <f>投資後權重!C252/投資後權重!$F252</f>
        <v>7.3621019544642882E-2</v>
      </c>
      <c r="D252">
        <f>投資後權重!D252/投資後權重!$F252</f>
        <v>0.85770260372346596</v>
      </c>
      <c r="E252">
        <f>投資後權重!E252/投資後權重!$F252</f>
        <v>6.8676376731891142E-2</v>
      </c>
      <c r="F252">
        <f t="shared" si="3"/>
        <v>1</v>
      </c>
    </row>
    <row r="253" spans="1:6">
      <c r="A253" t="s">
        <v>256</v>
      </c>
      <c r="B253">
        <f>投資後權重!B253/投資後權重!$F253</f>
        <v>0</v>
      </c>
      <c r="C253">
        <f>投資後權重!C253/投資後權重!$F253</f>
        <v>7.2155662774457688E-2</v>
      </c>
      <c r="D253">
        <f>投資後權重!D253/投資後權重!$F253</f>
        <v>0.8596360554090775</v>
      </c>
      <c r="E253">
        <f>投資後權重!E253/投資後權重!$F253</f>
        <v>6.8208281816464739E-2</v>
      </c>
      <c r="F253">
        <f t="shared" si="3"/>
        <v>1</v>
      </c>
    </row>
    <row r="254" spans="1:6">
      <c r="A254" t="s">
        <v>257</v>
      </c>
      <c r="B254">
        <f>投資後權重!B254/投資後權重!$F254</f>
        <v>0</v>
      </c>
      <c r="C254">
        <f>投資後權重!C254/投資後權重!$F254</f>
        <v>7.142231786412867E-2</v>
      </c>
      <c r="D254">
        <f>投資後權重!D254/投資後權重!$F254</f>
        <v>0.86244992218817151</v>
      </c>
      <c r="E254">
        <f>投資後權重!E254/投資後權重!$F254</f>
        <v>6.6127759947699732E-2</v>
      </c>
      <c r="F254">
        <f t="shared" si="3"/>
        <v>0.99999999999999989</v>
      </c>
    </row>
    <row r="255" spans="1:6">
      <c r="A255" t="s">
        <v>258</v>
      </c>
      <c r="B255">
        <f>投資後權重!B255/投資後權重!$F255</f>
        <v>0</v>
      </c>
      <c r="C255">
        <f>投資後權重!C255/投資後權重!$F255</f>
        <v>7.3088678836066276E-2</v>
      </c>
      <c r="D255">
        <f>投資後權重!D255/投資後權重!$F255</f>
        <v>0.86025961528495287</v>
      </c>
      <c r="E255">
        <f>投資後權重!E255/投資後權重!$F255</f>
        <v>6.6651705878980796E-2</v>
      </c>
      <c r="F255">
        <f t="shared" si="3"/>
        <v>1</v>
      </c>
    </row>
    <row r="256" spans="1:6">
      <c r="A256" t="s">
        <v>259</v>
      </c>
      <c r="B256">
        <f>投資後權重!B256/投資後權重!$F256</f>
        <v>0</v>
      </c>
      <c r="C256">
        <f>投資後權重!C256/投資後權重!$F256</f>
        <v>7.3211414798441302E-2</v>
      </c>
      <c r="D256">
        <f>投資後權重!D256/投資後權重!$F256</f>
        <v>0.85929049008001246</v>
      </c>
      <c r="E256">
        <f>投資後權重!E256/投資後權重!$F256</f>
        <v>6.7498095121546281E-2</v>
      </c>
      <c r="F256">
        <f t="shared" si="3"/>
        <v>1</v>
      </c>
    </row>
    <row r="257" spans="1:6">
      <c r="A257" t="s">
        <v>260</v>
      </c>
      <c r="B257">
        <f>投資後權重!B257/投資後權重!$F257</f>
        <v>0</v>
      </c>
      <c r="C257">
        <f>投資後權重!C257/投資後權重!$F257</f>
        <v>7.2942315017036172E-2</v>
      </c>
      <c r="D257">
        <f>投資後權重!D257/投資後權重!$F257</f>
        <v>0.86036810608961978</v>
      </c>
      <c r="E257">
        <f>投資後權重!E257/投資後權重!$F257</f>
        <v>6.6689578893344051E-2</v>
      </c>
      <c r="F257">
        <f t="shared" si="3"/>
        <v>1</v>
      </c>
    </row>
    <row r="258" spans="1:6">
      <c r="A258" t="s">
        <v>261</v>
      </c>
      <c r="B258">
        <f>投資後權重!B258/投資後權重!$F258</f>
        <v>0</v>
      </c>
      <c r="C258">
        <f>投資後權重!C258/投資後權重!$F258</f>
        <v>7.086137480649117E-2</v>
      </c>
      <c r="D258">
        <f>投資後權重!D258/投資後權重!$F258</f>
        <v>0.8569919789232463</v>
      </c>
      <c r="E258">
        <f>投資後權重!E258/投資後權重!$F258</f>
        <v>7.2146646270262557E-2</v>
      </c>
      <c r="F258">
        <f t="shared" si="3"/>
        <v>1</v>
      </c>
    </row>
    <row r="259" spans="1:6">
      <c r="A259" t="s">
        <v>262</v>
      </c>
      <c r="B259">
        <f>投資後權重!B259/投資後權重!$F259</f>
        <v>0</v>
      </c>
      <c r="C259">
        <f>投資後權重!C259/投資後權重!$F259</f>
        <v>6.9307704696316169E-2</v>
      </c>
      <c r="D259">
        <f>投資後權重!D259/投資後權重!$F259</f>
        <v>0.86038552415506875</v>
      </c>
      <c r="E259">
        <f>投資後權重!E259/投資後權重!$F259</f>
        <v>7.0306771148615124E-2</v>
      </c>
      <c r="F259">
        <f t="shared" si="3"/>
        <v>1</v>
      </c>
    </row>
    <row r="260" spans="1:6">
      <c r="A260" t="s">
        <v>263</v>
      </c>
      <c r="B260">
        <f>投資後權重!B260/投資後權重!$F260</f>
        <v>0</v>
      </c>
      <c r="C260">
        <f>投資後權重!C260/投資後權重!$F260</f>
        <v>7.0699766159096608E-2</v>
      </c>
      <c r="D260">
        <f>投資後權重!D260/投資後權重!$F260</f>
        <v>0.85847222652220023</v>
      </c>
      <c r="E260">
        <f>投資後權重!E260/投資後權重!$F260</f>
        <v>7.082800731870309E-2</v>
      </c>
      <c r="F260">
        <f t="shared" ref="F260:F323" si="4">SUM(B260:E260)</f>
        <v>0.99999999999999989</v>
      </c>
    </row>
    <row r="261" spans="1:6">
      <c r="A261" t="s">
        <v>264</v>
      </c>
      <c r="B261">
        <f>投資後權重!B261/投資後權重!$F261</f>
        <v>0</v>
      </c>
      <c r="C261">
        <f>投資後權重!C261/投資後權重!$F261</f>
        <v>7.1192494281809446E-2</v>
      </c>
      <c r="D261">
        <f>投資後權重!D261/投資後權重!$F261</f>
        <v>0.85831040403034231</v>
      </c>
      <c r="E261">
        <f>投資後權重!E261/投資後權重!$F261</f>
        <v>7.0497101687848271E-2</v>
      </c>
      <c r="F261">
        <f t="shared" si="4"/>
        <v>1</v>
      </c>
    </row>
    <row r="262" spans="1:6">
      <c r="A262" t="s">
        <v>265</v>
      </c>
      <c r="B262">
        <f>投資後權重!B262/投資後權重!$F262</f>
        <v>0</v>
      </c>
      <c r="C262">
        <f>投資後權重!C262/投資後權重!$F262</f>
        <v>7.2542397977870474E-2</v>
      </c>
      <c r="D262">
        <f>投資後權重!D262/投資後權重!$F262</f>
        <v>0.85764158612760411</v>
      </c>
      <c r="E262">
        <f>投資後權重!E262/投資後權重!$F262</f>
        <v>6.9816015894525324E-2</v>
      </c>
      <c r="F262">
        <f t="shared" si="4"/>
        <v>0.99999999999999989</v>
      </c>
    </row>
    <row r="263" spans="1:6">
      <c r="A263" t="s">
        <v>266</v>
      </c>
      <c r="B263">
        <f>投資後權重!B263/投資後權重!$F263</f>
        <v>0</v>
      </c>
      <c r="C263">
        <f>投資後權重!C263/投資後權重!$F263</f>
        <v>7.2281037434315562E-2</v>
      </c>
      <c r="D263">
        <f>投資後權重!D263/投資後權重!$F263</f>
        <v>0.85865521234402054</v>
      </c>
      <c r="E263">
        <f>投資後權重!E263/投資後權重!$F263</f>
        <v>6.9063750221664028E-2</v>
      </c>
      <c r="F263">
        <f t="shared" si="4"/>
        <v>1.0000000000000002</v>
      </c>
    </row>
    <row r="264" spans="1:6">
      <c r="A264" t="s">
        <v>267</v>
      </c>
      <c r="B264">
        <f>投資後權重!B264/投資後權重!$F264</f>
        <v>0</v>
      </c>
      <c r="C264">
        <f>投資後權重!C264/投資後權重!$F264</f>
        <v>7.3814633273369332E-2</v>
      </c>
      <c r="D264">
        <f>投資後權重!D264/投資後權重!$F264</f>
        <v>0.85623665898549906</v>
      </c>
      <c r="E264">
        <f>投資後權重!E264/投資後權重!$F264</f>
        <v>6.9948707741131599E-2</v>
      </c>
      <c r="F264">
        <f t="shared" si="4"/>
        <v>1</v>
      </c>
    </row>
    <row r="265" spans="1:6">
      <c r="A265" t="s">
        <v>268</v>
      </c>
      <c r="B265">
        <f>投資後權重!B265/投資後權重!$F265</f>
        <v>0</v>
      </c>
      <c r="C265">
        <f>投資後權重!C265/投資後權重!$F265</f>
        <v>7.3704578439997434E-2</v>
      </c>
      <c r="D265">
        <f>投資後權重!D265/投資後權重!$F265</f>
        <v>0.85683123303599806</v>
      </c>
      <c r="E265">
        <f>投資後權重!E265/投資後權重!$F265</f>
        <v>6.9464188524004516E-2</v>
      </c>
      <c r="F265">
        <f t="shared" si="4"/>
        <v>1</v>
      </c>
    </row>
    <row r="266" spans="1:6">
      <c r="A266" t="s">
        <v>269</v>
      </c>
      <c r="B266">
        <f>投資後權重!B266/投資後權重!$F266</f>
        <v>0</v>
      </c>
      <c r="C266">
        <f>投資後權重!C266/投資後權重!$F266</f>
        <v>7.5323113409693568E-2</v>
      </c>
      <c r="D266">
        <f>投資後權重!D266/投資後權重!$F266</f>
        <v>0.85322517138244924</v>
      </c>
      <c r="E266">
        <f>投資後權重!E266/投資後權重!$F266</f>
        <v>7.1451715207857217E-2</v>
      </c>
      <c r="F266">
        <f t="shared" si="4"/>
        <v>1</v>
      </c>
    </row>
    <row r="267" spans="1:6">
      <c r="A267" t="s">
        <v>270</v>
      </c>
      <c r="B267">
        <f>投資後權重!B267/投資後權重!$F267</f>
        <v>0</v>
      </c>
      <c r="C267">
        <f>投資後權重!C267/投資後權重!$F267</f>
        <v>7.6398074719400785E-2</v>
      </c>
      <c r="D267">
        <f>投資後權重!D267/投資後權重!$F267</f>
        <v>0.85103942735386717</v>
      </c>
      <c r="E267">
        <f>投資後權重!E267/投資後權重!$F267</f>
        <v>7.2562497926732028E-2</v>
      </c>
      <c r="F267">
        <f t="shared" si="4"/>
        <v>1</v>
      </c>
    </row>
    <row r="268" spans="1:6">
      <c r="A268" t="s">
        <v>271</v>
      </c>
      <c r="B268">
        <f>投資後權重!B268/投資後權重!$F268</f>
        <v>0</v>
      </c>
      <c r="C268">
        <f>投資後權重!C268/投資後權重!$F268</f>
        <v>7.6498744174103753E-2</v>
      </c>
      <c r="D268">
        <f>投資後權重!D268/投資後權重!$F268</f>
        <v>0.8507512163169173</v>
      </c>
      <c r="E268">
        <f>投資後權重!E268/投資後權重!$F268</f>
        <v>7.2750039508978889E-2</v>
      </c>
      <c r="F268">
        <f t="shared" si="4"/>
        <v>0.99999999999999989</v>
      </c>
    </row>
    <row r="269" spans="1:6">
      <c r="A269" t="s">
        <v>272</v>
      </c>
      <c r="B269">
        <f>投資後權重!B269/投資後權重!$F269</f>
        <v>0</v>
      </c>
      <c r="C269">
        <f>投資後權重!C269/投資後權重!$F269</f>
        <v>7.6027644227640273E-2</v>
      </c>
      <c r="D269">
        <f>投資後權重!D269/投資後權重!$F269</f>
        <v>0.85252977116265871</v>
      </c>
      <c r="E269">
        <f>投資後權重!E269/投資後權重!$F269</f>
        <v>7.1442584609700988E-2</v>
      </c>
      <c r="F269">
        <f t="shared" si="4"/>
        <v>1</v>
      </c>
    </row>
    <row r="270" spans="1:6">
      <c r="A270" t="s">
        <v>273</v>
      </c>
      <c r="B270">
        <f>投資後權重!B270/投資後權重!$F270</f>
        <v>0</v>
      </c>
      <c r="C270">
        <f>投資後權重!C270/投資後權重!$F270</f>
        <v>7.6410735854255896E-2</v>
      </c>
      <c r="D270">
        <f>投資後權重!D270/投資後權重!$F270</f>
        <v>0.85135598579692395</v>
      </c>
      <c r="E270">
        <f>投資後權重!E270/投資後權重!$F270</f>
        <v>7.2233278348820193E-2</v>
      </c>
      <c r="F270">
        <f t="shared" si="4"/>
        <v>1</v>
      </c>
    </row>
    <row r="271" spans="1:6">
      <c r="A271" t="s">
        <v>274</v>
      </c>
      <c r="B271">
        <f>投資後權重!B271/投資後權重!$F271</f>
        <v>0</v>
      </c>
      <c r="C271">
        <f>投資後權重!C271/投資後權重!$F271</f>
        <v>7.6768889769248186E-2</v>
      </c>
      <c r="D271">
        <f>投資後權重!D271/投資後權重!$F271</f>
        <v>0.85215585239997116</v>
      </c>
      <c r="E271">
        <f>投資後權重!E271/投資後權重!$F271</f>
        <v>7.1075257830780725E-2</v>
      </c>
      <c r="F271">
        <f t="shared" si="4"/>
        <v>1</v>
      </c>
    </row>
    <row r="272" spans="1:6">
      <c r="A272" t="s">
        <v>275</v>
      </c>
      <c r="B272">
        <f>投資後權重!B272/投資後權重!$F272</f>
        <v>0</v>
      </c>
      <c r="C272">
        <f>投資後權重!C272/投資後權重!$F272</f>
        <v>7.6220325217925378E-2</v>
      </c>
      <c r="D272">
        <f>投資後權重!D272/投資後權重!$F272</f>
        <v>0.85313003239356389</v>
      </c>
      <c r="E272">
        <f>投資後權重!E272/投資後權重!$F272</f>
        <v>7.0649642388510708E-2</v>
      </c>
      <c r="F272">
        <f t="shared" si="4"/>
        <v>0.99999999999999989</v>
      </c>
    </row>
    <row r="273" spans="1:6">
      <c r="A273" t="s">
        <v>276</v>
      </c>
      <c r="B273">
        <f>投資後權重!B273/投資後權重!$F273</f>
        <v>0</v>
      </c>
      <c r="C273">
        <f>投資後權重!C273/投資後權重!$F273</f>
        <v>7.7687806272866117E-2</v>
      </c>
      <c r="D273">
        <f>投資後權重!D273/投資後權重!$F273</f>
        <v>0.84903364970287365</v>
      </c>
      <c r="E273">
        <f>投資後權重!E273/投資後權重!$F273</f>
        <v>7.3278544024260386E-2</v>
      </c>
      <c r="F273">
        <f t="shared" si="4"/>
        <v>1.0000000000000002</v>
      </c>
    </row>
    <row r="274" spans="1:6">
      <c r="A274" t="s">
        <v>277</v>
      </c>
      <c r="B274">
        <f>投資後權重!B274/投資後權重!$F274</f>
        <v>0</v>
      </c>
      <c r="C274">
        <f>投資後權重!C274/投資後權重!$F274</f>
        <v>7.6340681404534524E-2</v>
      </c>
      <c r="D274">
        <f>投資後權重!D274/投資後權重!$F274</f>
        <v>0.84877296474509623</v>
      </c>
      <c r="E274">
        <f>投資後權重!E274/投資後權重!$F274</f>
        <v>7.4886353850369319E-2</v>
      </c>
      <c r="F274">
        <f t="shared" si="4"/>
        <v>1</v>
      </c>
    </row>
    <row r="275" spans="1:6">
      <c r="A275" t="s">
        <v>278</v>
      </c>
      <c r="B275">
        <f>投資後權重!B275/投資後權重!$F275</f>
        <v>0</v>
      </c>
      <c r="C275">
        <f>投資後權重!C275/投資後權重!$F275</f>
        <v>7.7183588550033183E-2</v>
      </c>
      <c r="D275">
        <f>投資後權重!D275/投資後權重!$F275</f>
        <v>0.84788124581312363</v>
      </c>
      <c r="E275">
        <f>投資後權重!E275/投資後權重!$F275</f>
        <v>7.4935165636843076E-2</v>
      </c>
      <c r="F275">
        <f t="shared" si="4"/>
        <v>0.99999999999999989</v>
      </c>
    </row>
    <row r="276" spans="1:6">
      <c r="A276" t="s">
        <v>279</v>
      </c>
      <c r="B276">
        <f>投資後權重!B276/投資後權重!$F276</f>
        <v>0</v>
      </c>
      <c r="C276">
        <f>投資後權重!C276/投資後權重!$F276</f>
        <v>7.5995377294443806E-2</v>
      </c>
      <c r="D276">
        <f>投資後權重!D276/投資後權重!$F276</f>
        <v>0.84967466719182594</v>
      </c>
      <c r="E276">
        <f>投資後權重!E276/投資後權重!$F276</f>
        <v>7.4329955513730284E-2</v>
      </c>
      <c r="F276">
        <f t="shared" si="4"/>
        <v>1</v>
      </c>
    </row>
    <row r="277" spans="1:6">
      <c r="A277" t="s">
        <v>280</v>
      </c>
      <c r="B277">
        <f>投資後權重!B277/投資後權重!$F277</f>
        <v>0</v>
      </c>
      <c r="C277">
        <f>投資後權重!C277/投資後權重!$F277</f>
        <v>7.5786422725573455E-2</v>
      </c>
      <c r="D277">
        <f>投資後權重!D277/投資後權重!$F277</f>
        <v>0.85059742162453478</v>
      </c>
      <c r="E277">
        <f>投資後權重!E277/投資後權重!$F277</f>
        <v>7.3616155649891768E-2</v>
      </c>
      <c r="F277">
        <f t="shared" si="4"/>
        <v>1</v>
      </c>
    </row>
    <row r="278" spans="1:6">
      <c r="A278" t="s">
        <v>281</v>
      </c>
      <c r="B278">
        <f>投資後權重!B278/投資後權重!$F278</f>
        <v>0</v>
      </c>
      <c r="C278">
        <f>投資後權重!C278/投資後權重!$F278</f>
        <v>7.7143543421841626E-2</v>
      </c>
      <c r="D278">
        <f>投資後權重!D278/投資後權重!$F278</f>
        <v>0.84636287202391469</v>
      </c>
      <c r="E278">
        <f>投資後權重!E278/投資後權重!$F278</f>
        <v>7.6493584554243682E-2</v>
      </c>
      <c r="F278">
        <f t="shared" si="4"/>
        <v>1</v>
      </c>
    </row>
    <row r="279" spans="1:6">
      <c r="A279" t="s">
        <v>282</v>
      </c>
      <c r="B279">
        <f>投資後權重!B279/投資後權重!$F279</f>
        <v>0</v>
      </c>
      <c r="C279">
        <f>投資後權重!C279/投資後權重!$F279</f>
        <v>7.7091322149510005E-2</v>
      </c>
      <c r="D279">
        <f>投資後權重!D279/投資後權重!$F279</f>
        <v>0.84778863487472744</v>
      </c>
      <c r="E279">
        <f>投資後權重!E279/投資後權重!$F279</f>
        <v>7.512004297576251E-2</v>
      </c>
      <c r="F279">
        <f t="shared" si="4"/>
        <v>0.99999999999999989</v>
      </c>
    </row>
    <row r="280" spans="1:6">
      <c r="A280" t="s">
        <v>283</v>
      </c>
      <c r="B280">
        <f>投資後權重!B280/投資後權重!$F280</f>
        <v>0</v>
      </c>
      <c r="C280">
        <f>投資後權重!C280/投資後權重!$F280</f>
        <v>7.8104067635601765E-2</v>
      </c>
      <c r="D280">
        <f>投資後權重!D280/投資後權重!$F280</f>
        <v>0.8462947341484427</v>
      </c>
      <c r="E280">
        <f>投資後權重!E280/投資後權重!$F280</f>
        <v>7.5601198215955526E-2</v>
      </c>
      <c r="F280">
        <f t="shared" si="4"/>
        <v>1</v>
      </c>
    </row>
    <row r="281" spans="1:6">
      <c r="A281" t="s">
        <v>284</v>
      </c>
      <c r="B281">
        <f>投資後權重!B281/投資後權重!$F281</f>
        <v>0</v>
      </c>
      <c r="C281">
        <f>投資後權重!C281/投資後權重!$F281</f>
        <v>7.7598938983468993E-2</v>
      </c>
      <c r="D281">
        <f>投資後權重!D281/投資後權重!$F281</f>
        <v>0.84815416985054182</v>
      </c>
      <c r="E281">
        <f>投資後權重!E281/投資後權重!$F281</f>
        <v>7.424689116598919E-2</v>
      </c>
      <c r="F281">
        <f t="shared" si="4"/>
        <v>1</v>
      </c>
    </row>
    <row r="282" spans="1:6">
      <c r="A282" t="s">
        <v>285</v>
      </c>
      <c r="B282">
        <f>投資後權重!B282/投資後權重!$F282</f>
        <v>0</v>
      </c>
      <c r="C282">
        <f>投資後權重!C282/投資後權重!$F282</f>
        <v>7.8339654083611696E-2</v>
      </c>
      <c r="D282">
        <f>投資後權重!D282/投資後權重!$F282</f>
        <v>0.85028623308330886</v>
      </c>
      <c r="E282">
        <f>投資後權重!E282/投資後權重!$F282</f>
        <v>7.1374112833079512E-2</v>
      </c>
      <c r="F282">
        <f t="shared" si="4"/>
        <v>1</v>
      </c>
    </row>
    <row r="283" spans="1:6">
      <c r="A283" t="s">
        <v>286</v>
      </c>
      <c r="B283">
        <f>投資後權重!B283/投資後權重!$F283</f>
        <v>0</v>
      </c>
      <c r="C283">
        <f>投資後權重!C283/投資後權重!$F283</f>
        <v>7.8722208430975507E-2</v>
      </c>
      <c r="D283">
        <f>投資後權重!D283/投資後權重!$F283</f>
        <v>0.84859017139440185</v>
      </c>
      <c r="E283">
        <f>投資後權重!E283/投資後權重!$F283</f>
        <v>7.26876201746227E-2</v>
      </c>
      <c r="F283">
        <f t="shared" si="4"/>
        <v>1</v>
      </c>
    </row>
    <row r="284" spans="1:6">
      <c r="A284" t="s">
        <v>287</v>
      </c>
      <c r="B284">
        <f>投資後權重!B284/投資後權重!$F284</f>
        <v>0</v>
      </c>
      <c r="C284">
        <f>投資後權重!C284/投資後權重!$F284</f>
        <v>7.8317113872913513E-2</v>
      </c>
      <c r="D284">
        <f>投資後權重!D284/投資後權重!$F284</f>
        <v>0.84892757257567042</v>
      </c>
      <c r="E284">
        <f>投資後權重!E284/投資後權重!$F284</f>
        <v>7.2755313551416165E-2</v>
      </c>
      <c r="F284">
        <f t="shared" si="4"/>
        <v>1</v>
      </c>
    </row>
    <row r="285" spans="1:6">
      <c r="A285" t="s">
        <v>288</v>
      </c>
      <c r="B285">
        <f>投資後權重!B285/投資後權重!$F285</f>
        <v>0</v>
      </c>
      <c r="C285">
        <f>投資後權重!C285/投資後權重!$F285</f>
        <v>7.8900058805623285E-2</v>
      </c>
      <c r="D285">
        <f>投資後權重!D285/投資後權重!$F285</f>
        <v>0.84776749736293822</v>
      </c>
      <c r="E285">
        <f>投資後權重!E285/投資後權重!$F285</f>
        <v>7.3332443831438388E-2</v>
      </c>
      <c r="F285">
        <f t="shared" si="4"/>
        <v>1</v>
      </c>
    </row>
    <row r="286" spans="1:6">
      <c r="A286" t="s">
        <v>289</v>
      </c>
      <c r="B286">
        <f>投資後權重!B286/投資後權重!$F286</f>
        <v>0</v>
      </c>
      <c r="C286">
        <f>投資後權重!C286/投資後權重!$F286</f>
        <v>8.0144232738863369E-2</v>
      </c>
      <c r="D286">
        <f>投資後權重!D286/投資後權重!$F286</f>
        <v>0.84571369801466012</v>
      </c>
      <c r="E286">
        <f>投資後權重!E286/投資後權重!$F286</f>
        <v>7.4142069246476511E-2</v>
      </c>
      <c r="F286">
        <f t="shared" si="4"/>
        <v>1</v>
      </c>
    </row>
    <row r="287" spans="1:6">
      <c r="A287" t="s">
        <v>290</v>
      </c>
      <c r="B287">
        <f>投資後權重!B287/投資後權重!$F287</f>
        <v>0</v>
      </c>
      <c r="C287">
        <f>投資後權重!C287/投資後權重!$F287</f>
        <v>7.8410847405495476E-2</v>
      </c>
      <c r="D287">
        <f>投資後權重!D287/投資後權重!$F287</f>
        <v>0.8468763474047819</v>
      </c>
      <c r="E287">
        <f>投資後權重!E287/投資後權重!$F287</f>
        <v>7.4712805189722661E-2</v>
      </c>
      <c r="F287">
        <f t="shared" si="4"/>
        <v>1</v>
      </c>
    </row>
    <row r="288" spans="1:6">
      <c r="A288" t="s">
        <v>291</v>
      </c>
      <c r="B288">
        <f>投資後權重!B288/投資後權重!$F288</f>
        <v>0</v>
      </c>
      <c r="C288">
        <f>投資後權重!C288/投資後權重!$F288</f>
        <v>7.7923357766181797E-2</v>
      </c>
      <c r="D288">
        <f>投資後權重!D288/投資後權重!$F288</f>
        <v>0.8449937183028603</v>
      </c>
      <c r="E288">
        <f>投資後權重!E288/投資後權重!$F288</f>
        <v>7.7082923930957836E-2</v>
      </c>
      <c r="F288">
        <f t="shared" si="4"/>
        <v>0.99999999999999989</v>
      </c>
    </row>
    <row r="289" spans="1:6">
      <c r="A289" t="s">
        <v>292</v>
      </c>
      <c r="B289">
        <f>投資後權重!B289/投資後權重!$F289</f>
        <v>0</v>
      </c>
      <c r="C289">
        <f>投資後權重!C289/投資後權重!$F289</f>
        <v>7.7747844304867336E-2</v>
      </c>
      <c r="D289">
        <f>投資後權重!D289/投資後權重!$F289</f>
        <v>0.84423404200954255</v>
      </c>
      <c r="E289">
        <f>投資後權重!E289/投資後權重!$F289</f>
        <v>7.801811368559014E-2</v>
      </c>
      <c r="F289">
        <f t="shared" si="4"/>
        <v>1</v>
      </c>
    </row>
    <row r="290" spans="1:6">
      <c r="A290" t="s">
        <v>293</v>
      </c>
      <c r="B290">
        <f>投資後權重!B290/投資後權重!$F290</f>
        <v>0</v>
      </c>
      <c r="C290">
        <f>投資後權重!C290/投資後權重!$F290</f>
        <v>7.6309215547402706E-2</v>
      </c>
      <c r="D290">
        <f>投資後權重!D290/投資後權重!$F290</f>
        <v>0.84700609423174344</v>
      </c>
      <c r="E290">
        <f>投資後權重!E290/投資後權重!$F290</f>
        <v>7.6684690220853835E-2</v>
      </c>
      <c r="F290">
        <f t="shared" si="4"/>
        <v>1</v>
      </c>
    </row>
    <row r="291" spans="1:6">
      <c r="A291" t="s">
        <v>294</v>
      </c>
      <c r="B291">
        <f>投資後權重!B291/投資後權重!$F291</f>
        <v>0</v>
      </c>
      <c r="C291">
        <f>投資後權重!C291/投資後權重!$F291</f>
        <v>7.6762741119630176E-2</v>
      </c>
      <c r="D291">
        <f>投資後權重!D291/投資後權重!$F291</f>
        <v>0.84589059996085181</v>
      </c>
      <c r="E291">
        <f>投資後權重!E291/投資後權重!$F291</f>
        <v>7.7346658919518127E-2</v>
      </c>
      <c r="F291">
        <f t="shared" si="4"/>
        <v>1.0000000000000002</v>
      </c>
    </row>
    <row r="292" spans="1:6">
      <c r="A292" t="s">
        <v>295</v>
      </c>
      <c r="B292">
        <f>投資後權重!B292/投資後權重!$F292</f>
        <v>0</v>
      </c>
      <c r="C292">
        <f>投資後權重!C292/投資後權重!$F292</f>
        <v>7.5902908079187509E-2</v>
      </c>
      <c r="D292">
        <f>投資後權重!D292/投資後權重!$F292</f>
        <v>0.8466783981995496</v>
      </c>
      <c r="E292">
        <f>投資後權重!E292/投資後權重!$F292</f>
        <v>7.7418693721262907E-2</v>
      </c>
      <c r="F292">
        <f t="shared" si="4"/>
        <v>1</v>
      </c>
    </row>
    <row r="293" spans="1:6">
      <c r="A293" t="s">
        <v>296</v>
      </c>
      <c r="B293">
        <f>投資後權重!B293/投資後權重!$F293</f>
        <v>0</v>
      </c>
      <c r="C293">
        <f>投資後權重!C293/投資後權重!$F293</f>
        <v>7.5404228582315533E-2</v>
      </c>
      <c r="D293">
        <f>投資後權重!D293/投資後權重!$F293</f>
        <v>0.84630782276073424</v>
      </c>
      <c r="E293">
        <f>投資後權重!E293/投資後權重!$F293</f>
        <v>7.8287948656950282E-2</v>
      </c>
      <c r="F293">
        <f t="shared" si="4"/>
        <v>1</v>
      </c>
    </row>
    <row r="294" spans="1:6">
      <c r="A294" t="s">
        <v>297</v>
      </c>
      <c r="B294">
        <f>投資後權重!B294/投資後權重!$F294</f>
        <v>0</v>
      </c>
      <c r="C294">
        <f>投資後權重!C294/投資後權重!$F294</f>
        <v>7.6519670478847321E-2</v>
      </c>
      <c r="D294">
        <f>投資後權重!D294/投資後權重!$F294</f>
        <v>0.84503069064305592</v>
      </c>
      <c r="E294">
        <f>投資後權重!E294/投資後權重!$F294</f>
        <v>7.8449638878096764E-2</v>
      </c>
      <c r="F294">
        <f t="shared" si="4"/>
        <v>1</v>
      </c>
    </row>
    <row r="295" spans="1:6">
      <c r="A295" t="s">
        <v>298</v>
      </c>
      <c r="B295">
        <f>投資後權重!B295/投資後權重!$F295</f>
        <v>0</v>
      </c>
      <c r="C295">
        <f>投資後權重!C295/投資後權重!$F295</f>
        <v>7.5730639777669043E-2</v>
      </c>
      <c r="D295">
        <f>投資後權重!D295/投資後權重!$F295</f>
        <v>0.8455581924807104</v>
      </c>
      <c r="E295">
        <f>投資後權重!E295/投資後權重!$F295</f>
        <v>7.8711167741620444E-2</v>
      </c>
      <c r="F295">
        <f t="shared" si="4"/>
        <v>0.99999999999999989</v>
      </c>
    </row>
    <row r="296" spans="1:6">
      <c r="A296" t="s">
        <v>299</v>
      </c>
      <c r="B296">
        <f>投資後權重!B296/投資後權重!$F296</f>
        <v>0</v>
      </c>
      <c r="C296">
        <f>投資後權重!C296/投資後權重!$F296</f>
        <v>7.3354877186920006E-2</v>
      </c>
      <c r="D296">
        <f>投資後權重!D296/投資後權重!$F296</f>
        <v>0.84825538515685606</v>
      </c>
      <c r="E296">
        <f>投資後權重!E296/投資後權重!$F296</f>
        <v>7.8389737656223979E-2</v>
      </c>
      <c r="F296">
        <f t="shared" si="4"/>
        <v>1</v>
      </c>
    </row>
    <row r="297" spans="1:6">
      <c r="A297" t="s">
        <v>300</v>
      </c>
      <c r="B297">
        <f>投資後權重!B297/投資後權重!$F297</f>
        <v>0</v>
      </c>
      <c r="C297">
        <f>投資後權重!C297/投資後權重!$F297</f>
        <v>7.2840011744810071E-2</v>
      </c>
      <c r="D297">
        <f>投資後權重!D297/投資後權重!$F297</f>
        <v>0.84925858792869902</v>
      </c>
      <c r="E297">
        <f>投資後權重!E297/投資後權重!$F297</f>
        <v>7.7901400326490747E-2</v>
      </c>
      <c r="F297">
        <f t="shared" si="4"/>
        <v>0.99999999999999978</v>
      </c>
    </row>
    <row r="298" spans="1:6">
      <c r="A298" t="s">
        <v>301</v>
      </c>
      <c r="B298">
        <f>投資後權重!B298/投資後權重!$F298</f>
        <v>0</v>
      </c>
      <c r="C298">
        <f>投資後權重!C298/投資後權重!$F298</f>
        <v>7.3011747646982247E-2</v>
      </c>
      <c r="D298">
        <f>投資後權重!D298/投資後權重!$F298</f>
        <v>0.84820837057544674</v>
      </c>
      <c r="E298">
        <f>投資後權重!E298/投資後權重!$F298</f>
        <v>7.8779881777571087E-2</v>
      </c>
      <c r="F298">
        <f t="shared" si="4"/>
        <v>1</v>
      </c>
    </row>
    <row r="299" spans="1:6">
      <c r="A299" t="s">
        <v>302</v>
      </c>
      <c r="B299">
        <f>投資後權重!B299/投資後權重!$F299</f>
        <v>0</v>
      </c>
      <c r="C299">
        <f>投資後權重!C299/投資後權重!$F299</f>
        <v>7.3911531587606466E-2</v>
      </c>
      <c r="D299">
        <f>投資後權重!D299/投資後權重!$F299</f>
        <v>0.8484692910024092</v>
      </c>
      <c r="E299">
        <f>投資後權重!E299/投資後權重!$F299</f>
        <v>7.7619177409984294E-2</v>
      </c>
      <c r="F299">
        <f t="shared" si="4"/>
        <v>0.99999999999999989</v>
      </c>
    </row>
    <row r="300" spans="1:6">
      <c r="A300" t="s">
        <v>303</v>
      </c>
      <c r="B300">
        <f>投資後權重!B300/投資後權重!$F300</f>
        <v>0</v>
      </c>
      <c r="C300">
        <f>投資後權重!C300/投資後權重!$F300</f>
        <v>7.4054517916241666E-2</v>
      </c>
      <c r="D300">
        <f>投資後權重!D300/投資後權重!$F300</f>
        <v>0.84816245027870507</v>
      </c>
      <c r="E300">
        <f>投資後權重!E300/投資後權重!$F300</f>
        <v>7.7783031805053318E-2</v>
      </c>
      <c r="F300">
        <f t="shared" si="4"/>
        <v>1</v>
      </c>
    </row>
    <row r="301" spans="1:6">
      <c r="A301" t="s">
        <v>304</v>
      </c>
      <c r="B301">
        <f>投資後權重!B301/投資後權重!$F301</f>
        <v>0</v>
      </c>
      <c r="C301">
        <f>投資後權重!C301/投資後權重!$F301</f>
        <v>6.9717396364161396E-2</v>
      </c>
      <c r="D301">
        <f>投資後權重!D301/投資後權重!$F301</f>
        <v>0.85133935310890674</v>
      </c>
      <c r="E301">
        <f>投資後權重!E301/投資後權重!$F301</f>
        <v>7.8943250526931824E-2</v>
      </c>
      <c r="F301">
        <f t="shared" si="4"/>
        <v>1</v>
      </c>
    </row>
    <row r="302" spans="1:6">
      <c r="A302" t="s">
        <v>305</v>
      </c>
      <c r="B302">
        <f>投資後權重!B302/投資後權重!$F302</f>
        <v>0</v>
      </c>
      <c r="C302">
        <f>投資後權重!C302/投資後權重!$F302</f>
        <v>6.5634444680324242E-2</v>
      </c>
      <c r="D302">
        <f>投資後權重!D302/投資後權重!$F302</f>
        <v>0.856703128774572</v>
      </c>
      <c r="E302">
        <f>投資後權重!E302/投資後權重!$F302</f>
        <v>7.7662426545103691E-2</v>
      </c>
      <c r="F302">
        <f t="shared" si="4"/>
        <v>0.99999999999999989</v>
      </c>
    </row>
    <row r="303" spans="1:6">
      <c r="A303" t="s">
        <v>306</v>
      </c>
      <c r="B303">
        <f>投資後權重!B303/投資後權重!$F303</f>
        <v>0</v>
      </c>
      <c r="C303">
        <f>投資後權重!C303/投資後權重!$F303</f>
        <v>6.5556733212464954E-2</v>
      </c>
      <c r="D303">
        <f>投資後權重!D303/投資後權重!$F303</f>
        <v>0.85692447208957767</v>
      </c>
      <c r="E303">
        <f>投資後權重!E303/投資後權重!$F303</f>
        <v>7.7518794697957333E-2</v>
      </c>
      <c r="F303">
        <f t="shared" si="4"/>
        <v>0.99999999999999989</v>
      </c>
    </row>
    <row r="304" spans="1:6">
      <c r="A304" t="s">
        <v>307</v>
      </c>
      <c r="B304">
        <f>投資後權重!B304/投資後權重!$F304</f>
        <v>0</v>
      </c>
      <c r="C304">
        <f>投資後權重!C304/投資後權重!$F304</f>
        <v>6.8866695543336548E-2</v>
      </c>
      <c r="D304">
        <f>投資後權重!D304/投資後權重!$F304</f>
        <v>0.85147151708097013</v>
      </c>
      <c r="E304">
        <f>投資後權重!E304/投資後權重!$F304</f>
        <v>7.9661787375693294E-2</v>
      </c>
      <c r="F304">
        <f t="shared" si="4"/>
        <v>1</v>
      </c>
    </row>
    <row r="305" spans="1:6">
      <c r="A305" t="s">
        <v>308</v>
      </c>
      <c r="B305">
        <f>投資後權重!B305/投資後權重!$F305</f>
        <v>0</v>
      </c>
      <c r="C305">
        <f>投資後權重!C305/投資後權重!$F305</f>
        <v>7.2367629275548531E-2</v>
      </c>
      <c r="D305">
        <f>投資後權重!D305/投資後權重!$F305</f>
        <v>0.84545808823000568</v>
      </c>
      <c r="E305">
        <f>投資後權重!E305/投資後權重!$F305</f>
        <v>8.2174282494445805E-2</v>
      </c>
      <c r="F305">
        <f t="shared" si="4"/>
        <v>1</v>
      </c>
    </row>
    <row r="306" spans="1:6">
      <c r="A306" t="s">
        <v>309</v>
      </c>
      <c r="B306">
        <f>投資後權重!B306/投資後權重!$F306</f>
        <v>0</v>
      </c>
      <c r="C306">
        <f>投資後權重!C306/投資後權重!$F306</f>
        <v>7.2070626336587104E-2</v>
      </c>
      <c r="D306">
        <f>投資後權重!D306/投資後權重!$F306</f>
        <v>0.84754952670232631</v>
      </c>
      <c r="E306">
        <f>投資後權重!E306/投資後權重!$F306</f>
        <v>8.0379846961086493E-2</v>
      </c>
      <c r="F306">
        <f t="shared" si="4"/>
        <v>0.99999999999999989</v>
      </c>
    </row>
    <row r="307" spans="1:6">
      <c r="A307" t="s">
        <v>310</v>
      </c>
      <c r="B307">
        <f>投資後權重!B307/投資後權重!$F307</f>
        <v>0</v>
      </c>
      <c r="C307">
        <f>投資後權重!C307/投資後權重!$F307</f>
        <v>7.2007147662459345E-2</v>
      </c>
      <c r="D307">
        <f>投資後權重!D307/投資後權重!$F307</f>
        <v>0.84680656829159273</v>
      </c>
      <c r="E307">
        <f>投資後權重!E307/投資後權重!$F307</f>
        <v>8.118628404594791E-2</v>
      </c>
      <c r="F307">
        <f t="shared" si="4"/>
        <v>1</v>
      </c>
    </row>
    <row r="308" spans="1:6">
      <c r="A308" t="s">
        <v>311</v>
      </c>
      <c r="B308">
        <f>投資後權重!B308/投資後權重!$F308</f>
        <v>0</v>
      </c>
      <c r="C308">
        <f>投資後權重!C308/投資後權重!$F308</f>
        <v>7.1947132897807478E-2</v>
      </c>
      <c r="D308">
        <f>投資後權重!D308/投資後權重!$F308</f>
        <v>0.84753183762466955</v>
      </c>
      <c r="E308">
        <f>投資後權重!E308/投資後權重!$F308</f>
        <v>8.0521029477523112E-2</v>
      </c>
      <c r="F308">
        <f t="shared" si="4"/>
        <v>1.0000000000000002</v>
      </c>
    </row>
    <row r="309" spans="1:6">
      <c r="A309" t="s">
        <v>312</v>
      </c>
      <c r="B309">
        <f>投資後權重!B309/投資後權重!$F309</f>
        <v>0</v>
      </c>
      <c r="C309">
        <f>投資後權重!C309/投資後權重!$F309</f>
        <v>7.2118645302383419E-2</v>
      </c>
      <c r="D309">
        <f>投資後權重!D309/投資後權重!$F309</f>
        <v>0.8462693155494464</v>
      </c>
      <c r="E309">
        <f>投資後權重!E309/投資後權重!$F309</f>
        <v>8.1612039148170279E-2</v>
      </c>
      <c r="F309">
        <f t="shared" si="4"/>
        <v>1</v>
      </c>
    </row>
    <row r="310" spans="1:6">
      <c r="A310" t="s">
        <v>313</v>
      </c>
      <c r="B310">
        <f>投資後權重!B310/投資後權重!$F310</f>
        <v>0</v>
      </c>
      <c r="C310">
        <f>投資後權重!C310/投資後權重!$F310</f>
        <v>7.3802028440579301E-2</v>
      </c>
      <c r="D310">
        <f>投資後權重!D310/投資後權重!$F310</f>
        <v>0.84450752985398392</v>
      </c>
      <c r="E310">
        <f>投資後權重!E310/投資後權重!$F310</f>
        <v>8.1690441705436878E-2</v>
      </c>
      <c r="F310">
        <f t="shared" si="4"/>
        <v>1</v>
      </c>
    </row>
    <row r="311" spans="1:6">
      <c r="A311" t="s">
        <v>314</v>
      </c>
      <c r="B311">
        <f>投資後權重!B311/投資後權重!$F311</f>
        <v>0</v>
      </c>
      <c r="C311">
        <f>投資後權重!C311/投資後權重!$F311</f>
        <v>7.3152639527234678E-2</v>
      </c>
      <c r="D311">
        <f>投資後權重!D311/投資後權重!$F311</f>
        <v>0.84591676514291392</v>
      </c>
      <c r="E311">
        <f>投資後權重!E311/投資後權重!$F311</f>
        <v>8.0930595329851487E-2</v>
      </c>
      <c r="F311">
        <f t="shared" si="4"/>
        <v>1.0000000000000002</v>
      </c>
    </row>
    <row r="312" spans="1:6">
      <c r="A312" t="s">
        <v>315</v>
      </c>
      <c r="B312">
        <f>投資後權重!B312/投資後權重!$F312</f>
        <v>0</v>
      </c>
      <c r="C312">
        <f>投資後權重!C312/投資後權重!$F312</f>
        <v>7.2172778059389847E-2</v>
      </c>
      <c r="D312">
        <f>投資後權重!D312/投資後權重!$F312</f>
        <v>0.84791880957130961</v>
      </c>
      <c r="E312">
        <f>投資後權重!E312/投資後權重!$F312</f>
        <v>7.9908412369300505E-2</v>
      </c>
      <c r="F312">
        <f t="shared" si="4"/>
        <v>0.99999999999999989</v>
      </c>
    </row>
    <row r="313" spans="1:6">
      <c r="A313" t="s">
        <v>316</v>
      </c>
      <c r="B313">
        <f>投資後權重!B313/投資後權重!$F313</f>
        <v>0</v>
      </c>
      <c r="C313">
        <f>投資後權重!C313/投資後權重!$F313</f>
        <v>7.1762596041808083E-2</v>
      </c>
      <c r="D313">
        <f>投資後權重!D313/投資後權重!$F313</f>
        <v>0.8496902518264734</v>
      </c>
      <c r="E313">
        <f>投資後權重!E313/投資後權重!$F313</f>
        <v>7.8547152131718576E-2</v>
      </c>
      <c r="F313">
        <f t="shared" si="4"/>
        <v>1</v>
      </c>
    </row>
    <row r="314" spans="1:6">
      <c r="A314" t="s">
        <v>317</v>
      </c>
      <c r="B314">
        <f>投資後權重!B314/投資後權重!$F314</f>
        <v>0</v>
      </c>
      <c r="C314">
        <f>投資後權重!C314/投資後權重!$F314</f>
        <v>7.1095515713907528E-2</v>
      </c>
      <c r="D314">
        <f>投資後權重!D314/投資後權重!$F314</f>
        <v>0.84961423051197538</v>
      </c>
      <c r="E314">
        <f>投資後權重!E314/投資後權重!$F314</f>
        <v>7.9290253774117095E-2</v>
      </c>
      <c r="F314">
        <f t="shared" si="4"/>
        <v>1</v>
      </c>
    </row>
    <row r="315" spans="1:6">
      <c r="A315" t="s">
        <v>318</v>
      </c>
      <c r="B315">
        <f>投資後權重!B315/投資後權重!$F315</f>
        <v>0</v>
      </c>
      <c r="C315">
        <f>投資後權重!C315/投資後權重!$F315</f>
        <v>7.225867110168728E-2</v>
      </c>
      <c r="D315">
        <f>投資後權重!D315/投資後權重!$F315</f>
        <v>0.85084206418186281</v>
      </c>
      <c r="E315">
        <f>投資後權重!E315/投資後權重!$F315</f>
        <v>7.6899264716449922E-2</v>
      </c>
      <c r="F315">
        <f t="shared" si="4"/>
        <v>1</v>
      </c>
    </row>
    <row r="316" spans="1:6">
      <c r="A316" t="s">
        <v>319</v>
      </c>
      <c r="B316">
        <f>投資後權重!B316/投資後權重!$F316</f>
        <v>0</v>
      </c>
      <c r="C316">
        <f>投資後權重!C316/投資後權重!$F316</f>
        <v>7.2070024880630607E-2</v>
      </c>
      <c r="D316">
        <f>投資後權重!D316/投資後權重!$F316</f>
        <v>0.85036734730321784</v>
      </c>
      <c r="E316">
        <f>投資後權重!E316/投資後權重!$F316</f>
        <v>7.75626278161516E-2</v>
      </c>
      <c r="F316">
        <f t="shared" si="4"/>
        <v>1</v>
      </c>
    </row>
    <row r="317" spans="1:6">
      <c r="A317" t="s">
        <v>320</v>
      </c>
      <c r="B317">
        <f>投資後權重!B317/投資後權重!$F317</f>
        <v>0</v>
      </c>
      <c r="C317">
        <f>投資後權重!C317/投資後權重!$F317</f>
        <v>7.10463242125563E-2</v>
      </c>
      <c r="D317">
        <f>投資後權重!D317/投資後權重!$F317</f>
        <v>0.85281027761945272</v>
      </c>
      <c r="E317">
        <f>投資後權重!E317/投資後權重!$F317</f>
        <v>7.6143398167990969E-2</v>
      </c>
      <c r="F317">
        <f t="shared" si="4"/>
        <v>1</v>
      </c>
    </row>
    <row r="318" spans="1:6">
      <c r="A318" t="s">
        <v>321</v>
      </c>
      <c r="B318">
        <f>投資後權重!B318/投資後權重!$F318</f>
        <v>0</v>
      </c>
      <c r="C318">
        <f>投資後權重!C318/投資後權重!$F318</f>
        <v>7.1235155379554355E-2</v>
      </c>
      <c r="D318">
        <f>投資後權重!D318/投資後權重!$F318</f>
        <v>0.8582372583633513</v>
      </c>
      <c r="E318">
        <f>投資後權重!E318/投資後權重!$F318</f>
        <v>7.0527586257094405E-2</v>
      </c>
      <c r="F318">
        <f t="shared" si="4"/>
        <v>1</v>
      </c>
    </row>
    <row r="319" spans="1:6">
      <c r="A319" t="s">
        <v>322</v>
      </c>
      <c r="B319">
        <f>投資後權重!B319/投資後權重!$F319</f>
        <v>0</v>
      </c>
      <c r="C319">
        <f>投資後權重!C319/投資後權重!$F319</f>
        <v>6.9764096492260591E-2</v>
      </c>
      <c r="D319">
        <f>投資後權重!D319/投資後權重!$F319</f>
        <v>0.85901619513504646</v>
      </c>
      <c r="E319">
        <f>投資後權重!E319/投資後權重!$F319</f>
        <v>7.121970837269298E-2</v>
      </c>
      <c r="F319">
        <f t="shared" si="4"/>
        <v>1</v>
      </c>
    </row>
    <row r="320" spans="1:6">
      <c r="A320" t="s">
        <v>323</v>
      </c>
      <c r="B320">
        <f>投資後權重!B320/投資後權重!$F320</f>
        <v>0</v>
      </c>
      <c r="C320">
        <f>投資後權重!C320/投資後權重!$F320</f>
        <v>7.2610008438352538E-2</v>
      </c>
      <c r="D320">
        <f>投資後權重!D320/投資後權重!$F320</f>
        <v>0.85587996918617504</v>
      </c>
      <c r="E320">
        <f>投資後權重!E320/投資後權重!$F320</f>
        <v>7.1510022375472396E-2</v>
      </c>
      <c r="F320">
        <f t="shared" si="4"/>
        <v>1</v>
      </c>
    </row>
    <row r="321" spans="1:6">
      <c r="A321" t="s">
        <v>324</v>
      </c>
      <c r="B321">
        <f>投資後權重!B321/投資後權重!$F321</f>
        <v>0</v>
      </c>
      <c r="C321">
        <f>投資後權重!C321/投資後權重!$F321</f>
        <v>7.1635176030115433E-2</v>
      </c>
      <c r="D321">
        <f>投資後權重!D321/投資後權重!$F321</f>
        <v>0.85760580096835337</v>
      </c>
      <c r="E321">
        <f>投資後權重!E321/投資後權重!$F321</f>
        <v>7.0759023001531016E-2</v>
      </c>
      <c r="F321">
        <f t="shared" si="4"/>
        <v>0.99999999999999989</v>
      </c>
    </row>
    <row r="322" spans="1:6">
      <c r="A322" t="s">
        <v>325</v>
      </c>
      <c r="B322">
        <f>投資後權重!B322/投資後權重!$F322</f>
        <v>0</v>
      </c>
      <c r="C322">
        <f>投資後權重!C322/投資後權重!$F322</f>
        <v>7.2704665301562207E-2</v>
      </c>
      <c r="D322">
        <f>投資後權重!D322/投資後權重!$F322</f>
        <v>0.8551326890852059</v>
      </c>
      <c r="E322">
        <f>投資後權重!E322/投資後權重!$F322</f>
        <v>7.2162645613231741E-2</v>
      </c>
      <c r="F322">
        <f t="shared" si="4"/>
        <v>0.99999999999999978</v>
      </c>
    </row>
    <row r="323" spans="1:6">
      <c r="A323" t="s">
        <v>326</v>
      </c>
      <c r="B323">
        <f>投資後權重!B323/投資後權重!$F323</f>
        <v>0</v>
      </c>
      <c r="C323">
        <f>投資後權重!C323/投資後權重!$F323</f>
        <v>7.0978674178757001E-2</v>
      </c>
      <c r="D323">
        <f>投資後權重!D323/投資後權重!$F323</f>
        <v>0.85715263409108478</v>
      </c>
      <c r="E323">
        <f>投資後權重!E323/投資後權重!$F323</f>
        <v>7.1868691730158099E-2</v>
      </c>
      <c r="F323">
        <f t="shared" si="4"/>
        <v>0.99999999999999989</v>
      </c>
    </row>
    <row r="324" spans="1:6">
      <c r="A324" t="s">
        <v>327</v>
      </c>
      <c r="B324">
        <f>投資後權重!B324/投資後權重!$F324</f>
        <v>0</v>
      </c>
      <c r="C324">
        <f>投資後權重!C324/投資後權重!$F324</f>
        <v>7.3174718602559488E-2</v>
      </c>
      <c r="D324">
        <f>投資後權重!D324/投資後權重!$F324</f>
        <v>0.85617584594049301</v>
      </c>
      <c r="E324">
        <f>投資後權重!E324/投資後權重!$F324</f>
        <v>7.0649435456947601E-2</v>
      </c>
      <c r="F324">
        <f t="shared" ref="F324:F387" si="5">SUM(B324:E324)</f>
        <v>1.0000000000000002</v>
      </c>
    </row>
    <row r="325" spans="1:6">
      <c r="A325" t="s">
        <v>328</v>
      </c>
      <c r="B325">
        <f>投資後權重!B325/投資後權重!$F325</f>
        <v>0</v>
      </c>
      <c r="C325">
        <f>投資後權重!C325/投資後權重!$F325</f>
        <v>7.4429062710674454E-2</v>
      </c>
      <c r="D325">
        <f>投資後權重!D325/投資後權重!$F325</f>
        <v>0.85386781438340664</v>
      </c>
      <c r="E325">
        <f>投資後權重!E325/投資後權重!$F325</f>
        <v>7.1703122905918903E-2</v>
      </c>
      <c r="F325">
        <f t="shared" si="5"/>
        <v>1</v>
      </c>
    </row>
    <row r="326" spans="1:6">
      <c r="A326" t="s">
        <v>329</v>
      </c>
      <c r="B326">
        <f>投資後權重!B326/投資後權重!$F326</f>
        <v>0</v>
      </c>
      <c r="C326">
        <f>投資後權重!C326/投資後權重!$F326</f>
        <v>7.4616398035285705E-2</v>
      </c>
      <c r="D326">
        <f>投資後權重!D326/投資後權重!$F326</f>
        <v>0.85544790661854209</v>
      </c>
      <c r="E326">
        <f>投資後權重!E326/投資後權重!$F326</f>
        <v>6.9935695346172277E-2</v>
      </c>
      <c r="F326">
        <f t="shared" si="5"/>
        <v>1</v>
      </c>
    </row>
    <row r="327" spans="1:6">
      <c r="A327" t="s">
        <v>330</v>
      </c>
      <c r="B327">
        <f>投資後權重!B327/投資後權重!$F327</f>
        <v>0</v>
      </c>
      <c r="C327">
        <f>投資後權重!C327/投資後權重!$F327</f>
        <v>7.3471623959615442E-2</v>
      </c>
      <c r="D327">
        <f>投資後權重!D327/投資後權重!$F327</f>
        <v>0.85563709377211516</v>
      </c>
      <c r="E327">
        <f>投資後權重!E327/投資後權重!$F327</f>
        <v>7.0891282268269296E-2</v>
      </c>
      <c r="F327">
        <f t="shared" si="5"/>
        <v>1</v>
      </c>
    </row>
    <row r="328" spans="1:6">
      <c r="A328" t="s">
        <v>331</v>
      </c>
      <c r="B328">
        <f>投資後權重!B328/投資後權重!$F328</f>
        <v>0</v>
      </c>
      <c r="C328">
        <f>投資後權重!C328/投資後權重!$F328</f>
        <v>7.2537040928331561E-2</v>
      </c>
      <c r="D328">
        <f>投資後權重!D328/投資後權重!$F328</f>
        <v>0.8570668407978943</v>
      </c>
      <c r="E328">
        <f>投資後權重!E328/投資後權重!$F328</f>
        <v>7.039611827377415E-2</v>
      </c>
      <c r="F328">
        <f t="shared" si="5"/>
        <v>1</v>
      </c>
    </row>
    <row r="329" spans="1:6">
      <c r="A329" t="s">
        <v>332</v>
      </c>
      <c r="B329">
        <f>投資後權重!B329/投資後權重!$F329</f>
        <v>0</v>
      </c>
      <c r="C329">
        <f>投資後權重!C329/投資後權重!$F329</f>
        <v>7.1901109284793652E-2</v>
      </c>
      <c r="D329">
        <f>投資後權重!D329/投資後權重!$F329</f>
        <v>0.85939212923967556</v>
      </c>
      <c r="E329">
        <f>投資後權重!E329/投資後權重!$F329</f>
        <v>6.8706761475530911E-2</v>
      </c>
      <c r="F329">
        <f t="shared" si="5"/>
        <v>1.0000000000000002</v>
      </c>
    </row>
    <row r="330" spans="1:6">
      <c r="A330" t="s">
        <v>333</v>
      </c>
      <c r="B330">
        <f>投資後權重!B330/投資後權重!$F330</f>
        <v>0</v>
      </c>
      <c r="C330">
        <f>投資後權重!C330/投資後權重!$F330</f>
        <v>7.2260820495932285E-2</v>
      </c>
      <c r="D330">
        <f>投資後權重!D330/投資後權重!$F330</f>
        <v>0.85842513619804273</v>
      </c>
      <c r="E330">
        <f>投資後權重!E330/投資後權重!$F330</f>
        <v>6.9314043306025044E-2</v>
      </c>
      <c r="F330">
        <f t="shared" si="5"/>
        <v>1</v>
      </c>
    </row>
    <row r="331" spans="1:6">
      <c r="A331" t="s">
        <v>334</v>
      </c>
      <c r="B331">
        <f>投資後權重!B331/投資後權重!$F331</f>
        <v>0</v>
      </c>
      <c r="C331">
        <f>投資後權重!C331/投資後權重!$F331</f>
        <v>7.1844930895950926E-2</v>
      </c>
      <c r="D331">
        <f>投資後權重!D331/投資後權重!$F331</f>
        <v>0.85838284863469061</v>
      </c>
      <c r="E331">
        <f>投資後權重!E331/投資後權重!$F331</f>
        <v>6.977222046935834E-2</v>
      </c>
      <c r="F331">
        <f t="shared" si="5"/>
        <v>0.99999999999999989</v>
      </c>
    </row>
    <row r="332" spans="1:6">
      <c r="A332" t="s">
        <v>335</v>
      </c>
      <c r="B332">
        <f>投資後權重!B332/投資後權重!$F332</f>
        <v>0</v>
      </c>
      <c r="C332">
        <f>投資後權重!C332/投資後權重!$F332</f>
        <v>7.1536294364096475E-2</v>
      </c>
      <c r="D332">
        <f>投資後權重!D332/投資後權重!$F332</f>
        <v>0.85887092332262283</v>
      </c>
      <c r="E332">
        <f>投資後權重!E332/投資後權重!$F332</f>
        <v>6.9592782313280796E-2</v>
      </c>
      <c r="F332">
        <f t="shared" si="5"/>
        <v>1</v>
      </c>
    </row>
    <row r="333" spans="1:6">
      <c r="A333" t="s">
        <v>336</v>
      </c>
      <c r="B333">
        <f>投資後權重!B333/投資後權重!$F333</f>
        <v>0</v>
      </c>
      <c r="C333">
        <f>投資後權重!C333/投資後權重!$F333</f>
        <v>7.1882258913734454E-2</v>
      </c>
      <c r="D333">
        <f>投資後權重!D333/投資後權重!$F333</f>
        <v>0.8591668217210201</v>
      </c>
      <c r="E333">
        <f>投資後權重!E333/投資後權重!$F333</f>
        <v>6.8950919365245361E-2</v>
      </c>
      <c r="F333">
        <f t="shared" si="5"/>
        <v>0.99999999999999989</v>
      </c>
    </row>
    <row r="334" spans="1:6">
      <c r="A334" t="s">
        <v>337</v>
      </c>
      <c r="B334">
        <f>投資後權重!B334/投資後權重!$F334</f>
        <v>0</v>
      </c>
      <c r="C334">
        <f>投資後權重!C334/投資後權重!$F334</f>
        <v>7.2084948208919905E-2</v>
      </c>
      <c r="D334">
        <f>投資後權重!D334/投資後權重!$F334</f>
        <v>0.86017017731147249</v>
      </c>
      <c r="E334">
        <f>投資後權重!E334/投資後權重!$F334</f>
        <v>6.7744874479607711E-2</v>
      </c>
      <c r="F334">
        <f t="shared" si="5"/>
        <v>1</v>
      </c>
    </row>
    <row r="335" spans="1:6">
      <c r="A335" t="s">
        <v>338</v>
      </c>
      <c r="B335">
        <f>投資後權重!B335/投資後權重!$F335</f>
        <v>0</v>
      </c>
      <c r="C335">
        <f>投資後權重!C335/投資後權重!$F335</f>
        <v>7.2349284750843137E-2</v>
      </c>
      <c r="D335">
        <f>投資後權重!D335/投資後權重!$F335</f>
        <v>0.85921009502522816</v>
      </c>
      <c r="E335">
        <f>投資後權重!E335/投資後權重!$F335</f>
        <v>6.8440620223928744E-2</v>
      </c>
      <c r="F335">
        <f t="shared" si="5"/>
        <v>1</v>
      </c>
    </row>
    <row r="336" spans="1:6">
      <c r="A336" t="s">
        <v>339</v>
      </c>
      <c r="B336">
        <f>投資後權重!B336/投資後權重!$F336</f>
        <v>0</v>
      </c>
      <c r="C336">
        <f>投資後權重!C336/投資後權重!$F336</f>
        <v>7.2220678044841682E-2</v>
      </c>
      <c r="D336">
        <f>投資後權重!D336/投資後權重!$F336</f>
        <v>0.85946036046986141</v>
      </c>
      <c r="E336">
        <f>投資後權重!E336/投資後權重!$F336</f>
        <v>6.8318961485297008E-2</v>
      </c>
      <c r="F336">
        <f t="shared" si="5"/>
        <v>1</v>
      </c>
    </row>
    <row r="337" spans="1:6">
      <c r="A337" t="s">
        <v>340</v>
      </c>
      <c r="B337">
        <f>投資後權重!B337/投資後權重!$F337</f>
        <v>0</v>
      </c>
      <c r="C337">
        <f>投資後權重!C337/投資後權重!$F337</f>
        <v>7.4059526146487753E-2</v>
      </c>
      <c r="D337">
        <f>投資後權重!D337/投資後權重!$F337</f>
        <v>0.8587449740504175</v>
      </c>
      <c r="E337">
        <f>投資後權重!E337/投資後權重!$F337</f>
        <v>6.7195499803094749E-2</v>
      </c>
      <c r="F337">
        <f t="shared" si="5"/>
        <v>1</v>
      </c>
    </row>
    <row r="338" spans="1:6">
      <c r="A338" t="s">
        <v>341</v>
      </c>
      <c r="B338">
        <f>投資後權重!B338/投資後權重!$F338</f>
        <v>0</v>
      </c>
      <c r="C338">
        <f>投資後權重!C338/投資後權重!$F338</f>
        <v>7.3898868676130408E-2</v>
      </c>
      <c r="D338">
        <f>投資後權重!D338/投資後權重!$F338</f>
        <v>0.85751255252661407</v>
      </c>
      <c r="E338">
        <f>投資後權重!E338/投資後權重!$F338</f>
        <v>6.8588578797255551E-2</v>
      </c>
      <c r="F338">
        <f t="shared" si="5"/>
        <v>1</v>
      </c>
    </row>
    <row r="339" spans="1:6">
      <c r="A339" t="s">
        <v>342</v>
      </c>
      <c r="B339">
        <f>投資後權重!B339/投資後權重!$F339</f>
        <v>0</v>
      </c>
      <c r="C339">
        <f>投資後權重!C339/投資後權重!$F339</f>
        <v>7.3124872759563572E-2</v>
      </c>
      <c r="D339">
        <f>投資後權重!D339/投資後權重!$F339</f>
        <v>0.85774362597325937</v>
      </c>
      <c r="E339">
        <f>投資後權重!E339/投資後權重!$F339</f>
        <v>6.9131501267177126E-2</v>
      </c>
      <c r="F339">
        <f t="shared" si="5"/>
        <v>1</v>
      </c>
    </row>
    <row r="340" spans="1:6">
      <c r="A340" t="s">
        <v>343</v>
      </c>
      <c r="B340">
        <f>投資後權重!B340/投資後權重!$F340</f>
        <v>0</v>
      </c>
      <c r="C340">
        <f>投資後權重!C340/投資後權重!$F340</f>
        <v>7.252027523534417E-2</v>
      </c>
      <c r="D340">
        <f>投資後權重!D340/投資後權重!$F340</f>
        <v>0.8608974937961914</v>
      </c>
      <c r="E340">
        <f>投資後權重!E340/投資後權重!$F340</f>
        <v>6.6582230968464481E-2</v>
      </c>
      <c r="F340">
        <f t="shared" si="5"/>
        <v>1</v>
      </c>
    </row>
    <row r="341" spans="1:6">
      <c r="A341" t="s">
        <v>344</v>
      </c>
      <c r="B341">
        <f>投資後權重!B341/投資後權重!$F341</f>
        <v>0</v>
      </c>
      <c r="C341">
        <f>投資後權重!C341/投資後權重!$F341</f>
        <v>7.1916914748071201E-2</v>
      </c>
      <c r="D341">
        <f>投資後權重!D341/投資後權重!$F341</f>
        <v>0.86340110332445108</v>
      </c>
      <c r="E341">
        <f>投資後權重!E341/投資後權重!$F341</f>
        <v>6.4681981927477775E-2</v>
      </c>
      <c r="F341">
        <f t="shared" si="5"/>
        <v>1</v>
      </c>
    </row>
    <row r="342" spans="1:6">
      <c r="A342" t="s">
        <v>345</v>
      </c>
      <c r="B342">
        <f>投資後權重!B342/投資後權重!$F342</f>
        <v>0</v>
      </c>
      <c r="C342">
        <f>投資後權重!C342/投資後權重!$F342</f>
        <v>7.0897757032168288E-2</v>
      </c>
      <c r="D342">
        <f>投資後權重!D342/投資後權重!$F342</f>
        <v>0.86247308153582514</v>
      </c>
      <c r="E342">
        <f>投資後權重!E342/投資後權重!$F342</f>
        <v>6.6629161432006659E-2</v>
      </c>
      <c r="F342">
        <f t="shared" si="5"/>
        <v>1</v>
      </c>
    </row>
    <row r="343" spans="1:6">
      <c r="A343" t="s">
        <v>346</v>
      </c>
      <c r="B343">
        <f>投資後權重!B343/投資後權重!$F343</f>
        <v>0</v>
      </c>
      <c r="C343">
        <f>投資後權重!C343/投資後權重!$F343</f>
        <v>7.0910432393811645E-2</v>
      </c>
      <c r="D343">
        <f>投資後權重!D343/投資後權重!$F343</f>
        <v>0.86283770533533122</v>
      </c>
      <c r="E343">
        <f>投資後權重!E343/投資後權重!$F343</f>
        <v>6.6251862270857151E-2</v>
      </c>
      <c r="F343">
        <f t="shared" si="5"/>
        <v>1</v>
      </c>
    </row>
    <row r="344" spans="1:6">
      <c r="A344" t="s">
        <v>347</v>
      </c>
      <c r="B344">
        <f>投資後權重!B344/投資後權重!$F344</f>
        <v>0</v>
      </c>
      <c r="C344">
        <f>投資後權重!C344/投資後權重!$F344</f>
        <v>6.879782894442818E-2</v>
      </c>
      <c r="D344">
        <f>投資後權重!D344/投資後權重!$F344</f>
        <v>0.864852477924548</v>
      </c>
      <c r="E344">
        <f>投資後權重!E344/投資後權重!$F344</f>
        <v>6.6349693131023846E-2</v>
      </c>
      <c r="F344">
        <f t="shared" si="5"/>
        <v>1</v>
      </c>
    </row>
    <row r="345" spans="1:6">
      <c r="A345" t="s">
        <v>348</v>
      </c>
      <c r="B345">
        <f>投資後權重!B345/投資後權重!$F345</f>
        <v>0</v>
      </c>
      <c r="C345">
        <f>投資後權重!C345/投資後權重!$F345</f>
        <v>6.7946881948431348E-2</v>
      </c>
      <c r="D345">
        <f>投資後權重!D345/投資後權重!$F345</f>
        <v>0.86771268209490215</v>
      </c>
      <c r="E345">
        <f>投資後權重!E345/投資後權重!$F345</f>
        <v>6.43404359566664E-2</v>
      </c>
      <c r="F345">
        <f t="shared" si="5"/>
        <v>0.99999999999999989</v>
      </c>
    </row>
    <row r="346" spans="1:6">
      <c r="A346" t="s">
        <v>349</v>
      </c>
      <c r="B346">
        <f>投資後權重!B346/投資後權重!$F346</f>
        <v>0</v>
      </c>
      <c r="C346">
        <f>投資後權重!C346/投資後權重!$F346</f>
        <v>6.979436978076678E-2</v>
      </c>
      <c r="D346">
        <f>投資後權重!D346/投資後權重!$F346</f>
        <v>0.86623858760565209</v>
      </c>
      <c r="E346">
        <f>投資後權重!E346/投資後權重!$F346</f>
        <v>6.396704261358116E-2</v>
      </c>
      <c r="F346">
        <f t="shared" si="5"/>
        <v>1</v>
      </c>
    </row>
    <row r="347" spans="1:6">
      <c r="A347" t="s">
        <v>350</v>
      </c>
      <c r="B347">
        <f>投資後權重!B347/投資後權重!$F347</f>
        <v>0</v>
      </c>
      <c r="C347">
        <f>投資後權重!C347/投資後權重!$F347</f>
        <v>7.0380152048749894E-2</v>
      </c>
      <c r="D347">
        <f>投資後權重!D347/投資後權重!$F347</f>
        <v>0.8664719083786262</v>
      </c>
      <c r="E347">
        <f>投資後權重!E347/投資後權重!$F347</f>
        <v>6.3147939572623851E-2</v>
      </c>
      <c r="F347">
        <f t="shared" si="5"/>
        <v>1</v>
      </c>
    </row>
    <row r="348" spans="1:6">
      <c r="A348" t="s">
        <v>351</v>
      </c>
      <c r="B348">
        <f>投資後權重!B348/投資後權重!$F348</f>
        <v>0</v>
      </c>
      <c r="C348">
        <f>投資後權重!C348/投資後權重!$F348</f>
        <v>7.0029690000288983E-2</v>
      </c>
      <c r="D348">
        <f>投資後權重!D348/投資後權重!$F348</f>
        <v>0.86627498698751471</v>
      </c>
      <c r="E348">
        <f>投資後權重!E348/投資後權重!$F348</f>
        <v>6.3695323012196298E-2</v>
      </c>
      <c r="F348">
        <f t="shared" si="5"/>
        <v>1</v>
      </c>
    </row>
    <row r="349" spans="1:6">
      <c r="A349" t="s">
        <v>352</v>
      </c>
      <c r="B349">
        <f>投資後權重!B349/投資後權重!$F349</f>
        <v>0</v>
      </c>
      <c r="C349">
        <f>投資後權重!C349/投資後權重!$F349</f>
        <v>6.8796986187658671E-2</v>
      </c>
      <c r="D349">
        <f>投資後權重!D349/投資後權重!$F349</f>
        <v>0.86763169621884639</v>
      </c>
      <c r="E349">
        <f>投資後權重!E349/投資後權重!$F349</f>
        <v>6.3571317593494922E-2</v>
      </c>
      <c r="F349">
        <f t="shared" si="5"/>
        <v>1</v>
      </c>
    </row>
    <row r="350" spans="1:6">
      <c r="A350" t="s">
        <v>353</v>
      </c>
      <c r="B350">
        <f>投資後權重!B350/投資後權重!$F350</f>
        <v>0</v>
      </c>
      <c r="C350">
        <f>投資後權重!C350/投資後權重!$F350</f>
        <v>6.8606560064198976E-2</v>
      </c>
      <c r="D350">
        <f>投資後權重!D350/投資後權重!$F350</f>
        <v>0.86791043342087149</v>
      </c>
      <c r="E350">
        <f>投資後權重!E350/投資後權重!$F350</f>
        <v>6.3483006514929413E-2</v>
      </c>
      <c r="F350">
        <f t="shared" si="5"/>
        <v>0.99999999999999989</v>
      </c>
    </row>
    <row r="351" spans="1:6">
      <c r="A351" t="s">
        <v>354</v>
      </c>
      <c r="B351">
        <f>投資後權重!B351/投資後權重!$F351</f>
        <v>0</v>
      </c>
      <c r="C351">
        <f>投資後權重!C351/投資後權重!$F351</f>
        <v>6.8990966201888743E-2</v>
      </c>
      <c r="D351">
        <f>投資後權重!D351/投資後權重!$F351</f>
        <v>0.86734775699121858</v>
      </c>
      <c r="E351">
        <f>投資後權重!E351/投資後權重!$F351</f>
        <v>6.3661276806892653E-2</v>
      </c>
      <c r="F351">
        <f t="shared" si="5"/>
        <v>1</v>
      </c>
    </row>
    <row r="352" spans="1:6">
      <c r="A352" t="s">
        <v>355</v>
      </c>
      <c r="B352">
        <f>投資後權重!B352/投資後權重!$F352</f>
        <v>0</v>
      </c>
      <c r="C352">
        <f>投資後權重!C352/投資後權重!$F352</f>
        <v>6.8520213272597594E-2</v>
      </c>
      <c r="D352">
        <f>投資後權重!D352/投資後權重!$F352</f>
        <v>0.86960529583608581</v>
      </c>
      <c r="E352">
        <f>投資後權重!E352/投資後權重!$F352</f>
        <v>6.1874490891316587E-2</v>
      </c>
      <c r="F352">
        <f t="shared" si="5"/>
        <v>1</v>
      </c>
    </row>
    <row r="353" spans="1:6">
      <c r="A353" t="s">
        <v>356</v>
      </c>
      <c r="B353">
        <f>投資後權重!B353/投資後權重!$F353</f>
        <v>0</v>
      </c>
      <c r="C353">
        <f>投資後權重!C353/投資後權重!$F353</f>
        <v>7.0748494117663471E-2</v>
      </c>
      <c r="D353">
        <f>投資後權重!D353/投資後權重!$F353</f>
        <v>0.86531489073967438</v>
      </c>
      <c r="E353">
        <f>投資後權重!E353/投資後權重!$F353</f>
        <v>6.3936615142662107E-2</v>
      </c>
      <c r="F353">
        <f t="shared" si="5"/>
        <v>1</v>
      </c>
    </row>
    <row r="354" spans="1:6">
      <c r="A354" t="s">
        <v>357</v>
      </c>
      <c r="B354">
        <f>投資後權重!B354/投資後權重!$F354</f>
        <v>0</v>
      </c>
      <c r="C354">
        <f>投資後權重!C354/投資後權重!$F354</f>
        <v>7.0789137650624501E-2</v>
      </c>
      <c r="D354">
        <f>投資後權重!D354/投資後權重!$F354</f>
        <v>0.86628797848629246</v>
      </c>
      <c r="E354">
        <f>投資後權重!E354/投資後權重!$F354</f>
        <v>6.2922883863083034E-2</v>
      </c>
      <c r="F354">
        <f t="shared" si="5"/>
        <v>1</v>
      </c>
    </row>
    <row r="355" spans="1:6">
      <c r="A355" t="s">
        <v>358</v>
      </c>
      <c r="B355">
        <f>投資後權重!B355/投資後權重!$F355</f>
        <v>0</v>
      </c>
      <c r="C355">
        <f>投資後權重!C355/投資後權重!$F355</f>
        <v>7.0159713448173941E-2</v>
      </c>
      <c r="D355">
        <f>投資後權重!D355/投資後權重!$F355</f>
        <v>0.86683806359218318</v>
      </c>
      <c r="E355">
        <f>投資後權重!E355/投資後權重!$F355</f>
        <v>6.3002222959642903E-2</v>
      </c>
      <c r="F355">
        <f t="shared" si="5"/>
        <v>1</v>
      </c>
    </row>
    <row r="356" spans="1:6">
      <c r="A356" t="s">
        <v>359</v>
      </c>
      <c r="B356">
        <f>投資後權重!B356/投資後權重!$F356</f>
        <v>0</v>
      </c>
      <c r="C356">
        <f>投資後權重!C356/投資後權重!$F356</f>
        <v>7.0294714908283915E-2</v>
      </c>
      <c r="D356">
        <f>投資後權重!D356/投資後權重!$F356</f>
        <v>0.86721131824856523</v>
      </c>
      <c r="E356">
        <f>投資後權重!E356/投資後權重!$F356</f>
        <v>6.2493966843150894E-2</v>
      </c>
      <c r="F356">
        <f t="shared" si="5"/>
        <v>1</v>
      </c>
    </row>
    <row r="357" spans="1:6">
      <c r="A357" t="s">
        <v>360</v>
      </c>
      <c r="B357">
        <f>投資後權重!B357/投資後權重!$F357</f>
        <v>0</v>
      </c>
      <c r="C357">
        <f>投資後權重!C357/投資後權重!$F357</f>
        <v>7.0827607233411985E-2</v>
      </c>
      <c r="D357">
        <f>投資後權重!D357/投資後權重!$F357</f>
        <v>0.86720901750285506</v>
      </c>
      <c r="E357">
        <f>投資後權重!E357/投資後權重!$F357</f>
        <v>6.1963375263732981E-2</v>
      </c>
      <c r="F357">
        <f t="shared" si="5"/>
        <v>1</v>
      </c>
    </row>
    <row r="358" spans="1:6">
      <c r="A358" t="s">
        <v>361</v>
      </c>
      <c r="B358">
        <f>投資後權重!B358/投資後權重!$F358</f>
        <v>0</v>
      </c>
      <c r="C358">
        <f>投資後權重!C358/投資後權重!$F358</f>
        <v>7.0482457395340134E-2</v>
      </c>
      <c r="D358">
        <f>投資後權重!D358/投資後權重!$F358</f>
        <v>0.86804538065913672</v>
      </c>
      <c r="E358">
        <f>投資後權重!E358/投資後權重!$F358</f>
        <v>6.1472161945523046E-2</v>
      </c>
      <c r="F358">
        <f t="shared" si="5"/>
        <v>0.99999999999999989</v>
      </c>
    </row>
    <row r="359" spans="1:6">
      <c r="A359" t="s">
        <v>362</v>
      </c>
      <c r="B359">
        <f>投資後權重!B359/投資後權重!$F359</f>
        <v>0</v>
      </c>
      <c r="C359">
        <f>投資後權重!C359/投資後權重!$F359</f>
        <v>7.0777015023630138E-2</v>
      </c>
      <c r="D359">
        <f>投資後權重!D359/投資後權重!$F359</f>
        <v>0.86797134204986159</v>
      </c>
      <c r="E359">
        <f>投資後權重!E359/投資後權重!$F359</f>
        <v>6.1251642926508219E-2</v>
      </c>
      <c r="F359">
        <f t="shared" si="5"/>
        <v>0.99999999999999989</v>
      </c>
    </row>
    <row r="360" spans="1:6">
      <c r="A360" t="s">
        <v>363</v>
      </c>
      <c r="B360">
        <f>投資後權重!B360/投資後權重!$F360</f>
        <v>0</v>
      </c>
      <c r="C360">
        <f>投資後權重!C360/投資後權重!$F360</f>
        <v>6.9317373202009508E-2</v>
      </c>
      <c r="D360">
        <f>投資後權重!D360/投資後權重!$F360</f>
        <v>0.86843681097555647</v>
      </c>
      <c r="E360">
        <f>投資後權重!E360/投資後權重!$F360</f>
        <v>6.2245815822433992E-2</v>
      </c>
      <c r="F360">
        <f t="shared" si="5"/>
        <v>1</v>
      </c>
    </row>
    <row r="361" spans="1:6">
      <c r="A361" t="s">
        <v>364</v>
      </c>
      <c r="B361">
        <f>投資後權重!B361/投資後權重!$F361</f>
        <v>0</v>
      </c>
      <c r="C361">
        <f>投資後權重!C361/投資後權重!$F361</f>
        <v>6.9917515971362476E-2</v>
      </c>
      <c r="D361">
        <f>投資後權重!D361/投資後權重!$F361</f>
        <v>0.86926069701846098</v>
      </c>
      <c r="E361">
        <f>投資後權重!E361/投資後權重!$F361</f>
        <v>6.0821787010176556E-2</v>
      </c>
      <c r="F361">
        <f t="shared" si="5"/>
        <v>1</v>
      </c>
    </row>
    <row r="362" spans="1:6">
      <c r="A362" t="s">
        <v>365</v>
      </c>
      <c r="B362">
        <f>投資後權重!B362/投資後權重!$F362</f>
        <v>0</v>
      </c>
      <c r="C362">
        <f>投資後權重!C362/投資後權重!$F362</f>
        <v>6.8935552045560927E-2</v>
      </c>
      <c r="D362">
        <f>投資後權重!D362/投資後權重!$F362</f>
        <v>0.86901750268361988</v>
      </c>
      <c r="E362">
        <f>投資後權重!E362/投資後權重!$F362</f>
        <v>6.2046945270819193E-2</v>
      </c>
      <c r="F362">
        <f t="shared" si="5"/>
        <v>1</v>
      </c>
    </row>
    <row r="363" spans="1:6">
      <c r="A363" t="s">
        <v>366</v>
      </c>
      <c r="B363">
        <f>投資後權重!B363/投資後權重!$F363</f>
        <v>0</v>
      </c>
      <c r="C363">
        <f>投資後權重!C363/投資後權重!$F363</f>
        <v>6.9246167712105067E-2</v>
      </c>
      <c r="D363">
        <f>投資後權重!D363/投資後權重!$F363</f>
        <v>0.86891046195088839</v>
      </c>
      <c r="E363">
        <f>投資後權重!E363/投資後權重!$F363</f>
        <v>6.1843370337006473E-2</v>
      </c>
      <c r="F363">
        <f t="shared" si="5"/>
        <v>1</v>
      </c>
    </row>
    <row r="364" spans="1:6">
      <c r="A364" t="s">
        <v>367</v>
      </c>
      <c r="B364">
        <f>投資後權重!B364/投資後權重!$F364</f>
        <v>0</v>
      </c>
      <c r="C364">
        <f>投資後權重!C364/投資後權重!$F364</f>
        <v>6.8477956883067181E-2</v>
      </c>
      <c r="D364">
        <f>投資後權重!D364/投資後權重!$F364</f>
        <v>0.87007928484791586</v>
      </c>
      <c r="E364">
        <f>投資後權重!E364/投資後權重!$F364</f>
        <v>6.1442758269016955E-2</v>
      </c>
      <c r="F364">
        <f t="shared" si="5"/>
        <v>1</v>
      </c>
    </row>
    <row r="365" spans="1:6">
      <c r="A365" t="s">
        <v>368</v>
      </c>
      <c r="B365">
        <f>投資後權重!B365/投資後權重!$F365</f>
        <v>0</v>
      </c>
      <c r="C365">
        <f>投資後權重!C365/投資後權重!$F365</f>
        <v>6.8447447451034468E-2</v>
      </c>
      <c r="D365">
        <f>投資後權重!D365/投資後權重!$F365</f>
        <v>0.86684067672517351</v>
      </c>
      <c r="E365">
        <f>投資後權重!E365/投資後權重!$F365</f>
        <v>6.4711875823791912E-2</v>
      </c>
      <c r="F365">
        <f t="shared" si="5"/>
        <v>0.99999999999999989</v>
      </c>
    </row>
    <row r="366" spans="1:6">
      <c r="A366" t="s">
        <v>369</v>
      </c>
      <c r="B366">
        <f>投資後權重!B366/投資後權重!$F366</f>
        <v>0</v>
      </c>
      <c r="C366">
        <f>投資後權重!C366/投資後權重!$F366</f>
        <v>6.7959064311806053E-2</v>
      </c>
      <c r="D366">
        <f>投資後權重!D366/投資後權重!$F366</f>
        <v>0.86586254337380653</v>
      </c>
      <c r="E366">
        <f>投資後權重!E366/投資後權重!$F366</f>
        <v>6.6178392314387491E-2</v>
      </c>
      <c r="F366">
        <f t="shared" si="5"/>
        <v>1</v>
      </c>
    </row>
    <row r="367" spans="1:6">
      <c r="A367" t="s">
        <v>370</v>
      </c>
      <c r="B367">
        <f>投資後權重!B367/投資後權重!$F367</f>
        <v>0</v>
      </c>
      <c r="C367">
        <f>投資後權重!C367/投資後權重!$F367</f>
        <v>6.7894876115410299E-2</v>
      </c>
      <c r="D367">
        <f>投資後權重!D367/投資後權重!$F367</f>
        <v>0.8650447252424267</v>
      </c>
      <c r="E367">
        <f>投資後權重!E367/投資後權重!$F367</f>
        <v>6.7060398642163024E-2</v>
      </c>
      <c r="F367">
        <f t="shared" si="5"/>
        <v>1</v>
      </c>
    </row>
    <row r="368" spans="1:6">
      <c r="A368" t="s">
        <v>371</v>
      </c>
      <c r="B368">
        <f>投資後權重!B368/投資後權重!$F368</f>
        <v>0</v>
      </c>
      <c r="C368">
        <f>投資後權重!C368/投資後權重!$F368</f>
        <v>6.788212833155309E-2</v>
      </c>
      <c r="D368">
        <f>投資後權重!D368/投資後權重!$F368</f>
        <v>0.8663152040779587</v>
      </c>
      <c r="E368">
        <f>投資後權重!E368/投資後權重!$F368</f>
        <v>6.5802667590488209E-2</v>
      </c>
      <c r="F368">
        <f t="shared" si="5"/>
        <v>1</v>
      </c>
    </row>
    <row r="369" spans="1:6">
      <c r="A369" t="s">
        <v>372</v>
      </c>
      <c r="B369">
        <f>投資後權重!B369/投資後權重!$F369</f>
        <v>0</v>
      </c>
      <c r="C369">
        <f>投資後權重!C369/投資後權重!$F369</f>
        <v>6.8027922137694943E-2</v>
      </c>
      <c r="D369">
        <f>投資後權重!D369/投資後權重!$F369</f>
        <v>0.86657066627306534</v>
      </c>
      <c r="E369">
        <f>投資後權重!E369/投資後權重!$F369</f>
        <v>6.5401411589239747E-2</v>
      </c>
      <c r="F369">
        <f t="shared" si="5"/>
        <v>1</v>
      </c>
    </row>
    <row r="370" spans="1:6">
      <c r="A370" t="s">
        <v>373</v>
      </c>
      <c r="B370">
        <f>投資後權重!B370/投資後權重!$F370</f>
        <v>0</v>
      </c>
      <c r="C370">
        <f>投資後權重!C370/投資後權重!$F370</f>
        <v>6.6744103328091192E-2</v>
      </c>
      <c r="D370">
        <f>投資後權重!D370/投資後權重!$F370</f>
        <v>0.86819920668245676</v>
      </c>
      <c r="E370">
        <f>投資後權重!E370/投資後權重!$F370</f>
        <v>6.5056689989452202E-2</v>
      </c>
      <c r="F370">
        <f t="shared" si="5"/>
        <v>1.0000000000000002</v>
      </c>
    </row>
    <row r="371" spans="1:6">
      <c r="A371" t="s">
        <v>374</v>
      </c>
      <c r="B371">
        <f>投資後權重!B371/投資後權重!$F371</f>
        <v>0</v>
      </c>
      <c r="C371">
        <f>投資後權重!C371/投資後權重!$F371</f>
        <v>6.7380867816384291E-2</v>
      </c>
      <c r="D371">
        <f>投資後權重!D371/投資後權重!$F371</f>
        <v>0.86846555683011795</v>
      </c>
      <c r="E371">
        <f>投資後權重!E371/投資後權重!$F371</f>
        <v>6.4153575353497735E-2</v>
      </c>
      <c r="F371">
        <f t="shared" si="5"/>
        <v>1</v>
      </c>
    </row>
    <row r="372" spans="1:6">
      <c r="A372" t="s">
        <v>375</v>
      </c>
      <c r="B372">
        <f>投資後權重!B372/投資後權重!$F372</f>
        <v>0</v>
      </c>
      <c r="C372">
        <f>投資後權重!C372/投資後權重!$F372</f>
        <v>6.6614688213844059E-2</v>
      </c>
      <c r="D372">
        <f>投資後權重!D372/投資後權重!$F372</f>
        <v>0.86963175382193603</v>
      </c>
      <c r="E372">
        <f>投資後權重!E372/投資後權重!$F372</f>
        <v>6.3753557964219956E-2</v>
      </c>
      <c r="F372">
        <f t="shared" si="5"/>
        <v>1</v>
      </c>
    </row>
    <row r="373" spans="1:6">
      <c r="A373" t="s">
        <v>376</v>
      </c>
      <c r="B373">
        <f>投資後權重!B373/投資後權重!$F373</f>
        <v>0</v>
      </c>
      <c r="C373">
        <f>投資後權重!C373/投資後權重!$F373</f>
        <v>6.6632500594249716E-2</v>
      </c>
      <c r="D373">
        <f>投資後權重!D373/投資後權重!$F373</f>
        <v>0.86872318336764065</v>
      </c>
      <c r="E373">
        <f>投資後權重!E373/投資後權重!$F373</f>
        <v>6.4644316038109717E-2</v>
      </c>
      <c r="F373">
        <f t="shared" si="5"/>
        <v>1</v>
      </c>
    </row>
    <row r="374" spans="1:6">
      <c r="A374" t="s">
        <v>377</v>
      </c>
      <c r="B374">
        <f>投資後權重!B374/投資後權重!$F374</f>
        <v>0</v>
      </c>
      <c r="C374">
        <f>投資後權重!C374/投資後權重!$F374</f>
        <v>6.6491034628379908E-2</v>
      </c>
      <c r="D374">
        <f>投資後權重!D374/投資後權重!$F374</f>
        <v>0.86757678674476735</v>
      </c>
      <c r="E374">
        <f>投資後權重!E374/投資後權重!$F374</f>
        <v>6.5932178626852717E-2</v>
      </c>
      <c r="F374">
        <f t="shared" si="5"/>
        <v>1</v>
      </c>
    </row>
    <row r="375" spans="1:6">
      <c r="A375" t="s">
        <v>378</v>
      </c>
      <c r="B375">
        <f>投資後權重!B375/投資後權重!$F375</f>
        <v>0</v>
      </c>
      <c r="C375">
        <f>投資後權重!C375/投資後權重!$F375</f>
        <v>6.7247922918280689E-2</v>
      </c>
      <c r="D375">
        <f>投資後權重!D375/投資後權重!$F375</f>
        <v>0.86767618397352497</v>
      </c>
      <c r="E375">
        <f>投資後權重!E375/投資後權重!$F375</f>
        <v>6.507589310819438E-2</v>
      </c>
      <c r="F375">
        <f t="shared" si="5"/>
        <v>1</v>
      </c>
    </row>
    <row r="376" spans="1:6">
      <c r="A376" t="s">
        <v>379</v>
      </c>
      <c r="B376">
        <f>投資後權重!B376/投資後權重!$F376</f>
        <v>0</v>
      </c>
      <c r="C376">
        <f>投資後權重!C376/投資後權重!$F376</f>
        <v>7.0261080085535305E-2</v>
      </c>
      <c r="D376">
        <f>投資後權重!D376/投資後權重!$F376</f>
        <v>0.86487324761258355</v>
      </c>
      <c r="E376">
        <f>投資後權重!E376/投資後權重!$F376</f>
        <v>6.4865672301881158E-2</v>
      </c>
      <c r="F376">
        <f t="shared" si="5"/>
        <v>1</v>
      </c>
    </row>
    <row r="377" spans="1:6">
      <c r="A377" t="s">
        <v>380</v>
      </c>
      <c r="B377">
        <f>投資後權重!B377/投資後權重!$F377</f>
        <v>0</v>
      </c>
      <c r="C377">
        <f>投資後權重!C377/投資後權重!$F377</f>
        <v>7.0448756161359885E-2</v>
      </c>
      <c r="D377">
        <f>投資後權重!D377/投資後權重!$F377</f>
        <v>0.86469866525002892</v>
      </c>
      <c r="E377">
        <f>投資後權重!E377/投資後權重!$F377</f>
        <v>6.485257858861114E-2</v>
      </c>
      <c r="F377">
        <f t="shared" si="5"/>
        <v>1</v>
      </c>
    </row>
    <row r="378" spans="1:6">
      <c r="A378" t="s">
        <v>381</v>
      </c>
      <c r="B378">
        <f>投資後權重!B378/投資後權重!$F378</f>
        <v>0</v>
      </c>
      <c r="C378">
        <f>投資後權重!C378/投資後權重!$F378</f>
        <v>7.1108017061536188E-2</v>
      </c>
      <c r="D378">
        <f>投資後權重!D378/投資後權重!$F378</f>
        <v>0.86535197735516989</v>
      </c>
      <c r="E378">
        <f>投資後權重!E378/投資後權重!$F378</f>
        <v>6.354000558329391E-2</v>
      </c>
      <c r="F378">
        <f t="shared" si="5"/>
        <v>0.99999999999999989</v>
      </c>
    </row>
    <row r="379" spans="1:6">
      <c r="A379" t="s">
        <v>382</v>
      </c>
      <c r="B379">
        <f>投資後權重!B379/投資後權重!$F379</f>
        <v>0</v>
      </c>
      <c r="C379">
        <f>投資後權重!C379/投資後權重!$F379</f>
        <v>7.0074127269131259E-2</v>
      </c>
      <c r="D379">
        <f>投資後權重!D379/投資後權重!$F379</f>
        <v>0.86750270632348381</v>
      </c>
      <c r="E379">
        <f>投資後權重!E379/投資後權重!$F379</f>
        <v>6.2423166407384961E-2</v>
      </c>
      <c r="F379">
        <f t="shared" si="5"/>
        <v>1</v>
      </c>
    </row>
    <row r="380" spans="1:6">
      <c r="A380" t="s">
        <v>383</v>
      </c>
      <c r="B380">
        <f>投資後權重!B380/投資後權重!$F380</f>
        <v>0</v>
      </c>
      <c r="C380">
        <f>投資後權重!C380/投資後權重!$F380</f>
        <v>6.8956726338044519E-2</v>
      </c>
      <c r="D380">
        <f>投資後權重!D380/投資後權重!$F380</f>
        <v>0.86871215656091083</v>
      </c>
      <c r="E380">
        <f>投資後權重!E380/投資後權重!$F380</f>
        <v>6.2331117101044733E-2</v>
      </c>
      <c r="F380">
        <f t="shared" si="5"/>
        <v>1</v>
      </c>
    </row>
    <row r="381" spans="1:6">
      <c r="A381" t="s">
        <v>384</v>
      </c>
      <c r="B381">
        <f>投資後權重!B381/投資後權重!$F381</f>
        <v>0</v>
      </c>
      <c r="C381">
        <f>投資後權重!C381/投資後權重!$F381</f>
        <v>7.1148867116427983E-2</v>
      </c>
      <c r="D381">
        <f>投資後權重!D381/投資後權重!$F381</f>
        <v>0.86733601409138794</v>
      </c>
      <c r="E381">
        <f>投資後權重!E381/投資後權重!$F381</f>
        <v>6.1515118792184138E-2</v>
      </c>
      <c r="F381">
        <f t="shared" si="5"/>
        <v>1</v>
      </c>
    </row>
    <row r="382" spans="1:6">
      <c r="A382" t="s">
        <v>385</v>
      </c>
      <c r="B382">
        <f>投資後權重!B382/投資後權重!$F382</f>
        <v>0</v>
      </c>
      <c r="C382">
        <f>投資後權重!C382/投資後權重!$F382</f>
        <v>7.3611780529125745E-2</v>
      </c>
      <c r="D382">
        <f>投資後權重!D382/投資後權重!$F382</f>
        <v>0.86488217830430558</v>
      </c>
      <c r="E382">
        <f>投資後權重!E382/投資後權重!$F382</f>
        <v>6.1506041166568715E-2</v>
      </c>
      <c r="F382">
        <f t="shared" si="5"/>
        <v>1</v>
      </c>
    </row>
    <row r="383" spans="1:6">
      <c r="A383" t="s">
        <v>386</v>
      </c>
      <c r="B383">
        <f>投資後權重!B383/投資後權重!$F383</f>
        <v>0</v>
      </c>
      <c r="C383">
        <f>投資後權重!C383/投資後權重!$F383</f>
        <v>7.3393350629563564E-2</v>
      </c>
      <c r="D383">
        <f>投資後權重!D383/投資後權重!$F383</f>
        <v>0.86568815461890747</v>
      </c>
      <c r="E383">
        <f>投資後權重!E383/投資後權重!$F383</f>
        <v>6.0918494751528926E-2</v>
      </c>
      <c r="F383">
        <f t="shared" si="5"/>
        <v>0.99999999999999989</v>
      </c>
    </row>
    <row r="384" spans="1:6">
      <c r="A384" t="s">
        <v>387</v>
      </c>
      <c r="B384">
        <f>投資後權重!B384/投資後權重!$F384</f>
        <v>0</v>
      </c>
      <c r="C384">
        <f>投資後權重!C384/投資後權重!$F384</f>
        <v>7.4209021428754046E-2</v>
      </c>
      <c r="D384">
        <f>投資後權重!D384/投資後權重!$F384</f>
        <v>0.86524595600088172</v>
      </c>
      <c r="E384">
        <f>投資後權重!E384/投資後權重!$F384</f>
        <v>6.0545022570364253E-2</v>
      </c>
      <c r="F384">
        <f t="shared" si="5"/>
        <v>1</v>
      </c>
    </row>
    <row r="385" spans="1:6">
      <c r="A385" t="s">
        <v>388</v>
      </c>
      <c r="B385">
        <f>投資後權重!B385/投資後權重!$F385</f>
        <v>0</v>
      </c>
      <c r="C385">
        <f>投資後權重!C385/投資後權重!$F385</f>
        <v>7.626986595599268E-2</v>
      </c>
      <c r="D385">
        <f>投資後權重!D385/投資後權重!$F385</f>
        <v>0.86292681550620043</v>
      </c>
      <c r="E385">
        <f>投資後權重!E385/投資後權重!$F385</f>
        <v>6.0803318537806877E-2</v>
      </c>
      <c r="F385">
        <f t="shared" si="5"/>
        <v>1</v>
      </c>
    </row>
    <row r="386" spans="1:6">
      <c r="A386" t="s">
        <v>389</v>
      </c>
      <c r="B386">
        <f>投資後權重!B386/投資後權重!$F386</f>
        <v>0</v>
      </c>
      <c r="C386">
        <f>投資後權重!C386/投資後權重!$F386</f>
        <v>7.6154343947675396E-2</v>
      </c>
      <c r="D386">
        <f>投資後權重!D386/投資後權重!$F386</f>
        <v>0.86424820528861079</v>
      </c>
      <c r="E386">
        <f>投資後權重!E386/投資後權重!$F386</f>
        <v>5.9597450763713658E-2</v>
      </c>
      <c r="F386">
        <f t="shared" si="5"/>
        <v>0.99999999999999989</v>
      </c>
    </row>
    <row r="387" spans="1:6">
      <c r="A387" t="s">
        <v>390</v>
      </c>
      <c r="B387">
        <f>投資後權重!B387/投資後權重!$F387</f>
        <v>0</v>
      </c>
      <c r="C387">
        <f>投資後權重!C387/投資後權重!$F387</f>
        <v>7.6451126107546272E-2</v>
      </c>
      <c r="D387">
        <f>投資後權重!D387/投資後權重!$F387</f>
        <v>0.86393993890237031</v>
      </c>
      <c r="E387">
        <f>投資後權重!E387/投資後權重!$F387</f>
        <v>5.9608934990083427E-2</v>
      </c>
      <c r="F387">
        <f t="shared" si="5"/>
        <v>1</v>
      </c>
    </row>
    <row r="388" spans="1:6">
      <c r="A388" t="s">
        <v>391</v>
      </c>
      <c r="B388">
        <f>投資後權重!B388/投資後權重!$F388</f>
        <v>0</v>
      </c>
      <c r="C388">
        <f>投資後權重!C388/投資後權重!$F388</f>
        <v>7.7418637132746257E-2</v>
      </c>
      <c r="D388">
        <f>投資後權重!D388/投資後權重!$F388</f>
        <v>0.86306547188612337</v>
      </c>
      <c r="E388">
        <f>投資後權重!E388/投資後權重!$F388</f>
        <v>5.9515890981130373E-2</v>
      </c>
      <c r="F388">
        <f t="shared" ref="F388:F451" si="6">SUM(B388:E388)</f>
        <v>1</v>
      </c>
    </row>
    <row r="389" spans="1:6">
      <c r="A389" t="s">
        <v>392</v>
      </c>
      <c r="B389">
        <f>投資後權重!B389/投資後權重!$F389</f>
        <v>0</v>
      </c>
      <c r="C389">
        <f>投資後權重!C389/投資後權重!$F389</f>
        <v>7.7040837742543153E-2</v>
      </c>
      <c r="D389">
        <f>投資後權重!D389/投資後權重!$F389</f>
        <v>0.86321341577525534</v>
      </c>
      <c r="E389">
        <f>投資後權重!E389/投資後權重!$F389</f>
        <v>5.9745746482201614E-2</v>
      </c>
      <c r="F389">
        <f t="shared" si="6"/>
        <v>1</v>
      </c>
    </row>
    <row r="390" spans="1:6">
      <c r="A390" t="s">
        <v>393</v>
      </c>
      <c r="B390">
        <f>投資後權重!B390/投資後權重!$F390</f>
        <v>0</v>
      </c>
      <c r="C390">
        <f>投資後權重!C390/投資後權重!$F390</f>
        <v>7.6430793068600456E-2</v>
      </c>
      <c r="D390">
        <f>投資後權重!D390/投資後權重!$F390</f>
        <v>0.8643119239221585</v>
      </c>
      <c r="E390">
        <f>投資後權重!E390/投資後權重!$F390</f>
        <v>5.9257283009240977E-2</v>
      </c>
      <c r="F390">
        <f t="shared" si="6"/>
        <v>0.99999999999999989</v>
      </c>
    </row>
    <row r="391" spans="1:6">
      <c r="A391" t="s">
        <v>394</v>
      </c>
      <c r="B391">
        <f>投資後權重!B391/投資後權重!$F391</f>
        <v>0</v>
      </c>
      <c r="C391">
        <f>投資後權重!C391/投資後權重!$F391</f>
        <v>7.8124926332524214E-2</v>
      </c>
      <c r="D391">
        <f>投資後權重!D391/投資後權重!$F391</f>
        <v>0.86072811880527145</v>
      </c>
      <c r="E391">
        <f>投資後權重!E391/投資後權重!$F391</f>
        <v>6.1146954862204284E-2</v>
      </c>
      <c r="F391">
        <f t="shared" si="6"/>
        <v>1</v>
      </c>
    </row>
    <row r="392" spans="1:6">
      <c r="A392" t="s">
        <v>395</v>
      </c>
      <c r="B392">
        <f>投資後權重!B392/投資後權重!$F392</f>
        <v>0</v>
      </c>
      <c r="C392">
        <f>投資後權重!C392/投資後權重!$F392</f>
        <v>8.0600925384329669E-2</v>
      </c>
      <c r="D392">
        <f>投資後權重!D392/投資後權重!$F392</f>
        <v>0.85947469279721589</v>
      </c>
      <c r="E392">
        <f>投資後權重!E392/投資後權重!$F392</f>
        <v>5.9924381818454379E-2</v>
      </c>
      <c r="F392">
        <f t="shared" si="6"/>
        <v>0.99999999999999989</v>
      </c>
    </row>
    <row r="393" spans="1:6">
      <c r="A393" t="s">
        <v>396</v>
      </c>
      <c r="B393">
        <f>投資後權重!B393/投資後權重!$F393</f>
        <v>0</v>
      </c>
      <c r="C393">
        <f>投資後權重!C393/投資後權重!$F393</f>
        <v>8.1531167472172983E-2</v>
      </c>
      <c r="D393">
        <f>投資後權重!D393/投資後權重!$F393</f>
        <v>0.85697425928802173</v>
      </c>
      <c r="E393">
        <f>投資後權重!E393/投資後權重!$F393</f>
        <v>6.1494573239805242E-2</v>
      </c>
      <c r="F393">
        <f t="shared" si="6"/>
        <v>0.99999999999999989</v>
      </c>
    </row>
    <row r="394" spans="1:6">
      <c r="A394" t="s">
        <v>397</v>
      </c>
      <c r="B394">
        <f>投資後權重!B394/投資後權重!$F394</f>
        <v>0</v>
      </c>
      <c r="C394">
        <f>投資後權重!C394/投資後權重!$F394</f>
        <v>8.0594901085677129E-2</v>
      </c>
      <c r="D394">
        <f>投資後權重!D394/投資後權重!$F394</f>
        <v>0.85890273482569035</v>
      </c>
      <c r="E394">
        <f>投資後權重!E394/投資後權重!$F394</f>
        <v>6.0502364088632507E-2</v>
      </c>
      <c r="F394">
        <f t="shared" si="6"/>
        <v>1</v>
      </c>
    </row>
    <row r="395" spans="1:6">
      <c r="A395" t="s">
        <v>398</v>
      </c>
      <c r="B395">
        <f>投資後權重!B395/投資後權重!$F395</f>
        <v>0</v>
      </c>
      <c r="C395">
        <f>投資後權重!C395/投資後權重!$F395</f>
        <v>8.0982399552163881E-2</v>
      </c>
      <c r="D395">
        <f>投資後權重!D395/投資後權重!$F395</f>
        <v>0.85753830638007966</v>
      </c>
      <c r="E395">
        <f>投資後權重!E395/投資後權重!$F395</f>
        <v>6.1479294067756422E-2</v>
      </c>
      <c r="F395">
        <f t="shared" si="6"/>
        <v>1</v>
      </c>
    </row>
    <row r="396" spans="1:6">
      <c r="A396" t="s">
        <v>399</v>
      </c>
      <c r="B396">
        <f>投資後權重!B396/投資後權重!$F396</f>
        <v>0</v>
      </c>
      <c r="C396">
        <f>投資後權重!C396/投資後權重!$F396</f>
        <v>8.2054419822143204E-2</v>
      </c>
      <c r="D396">
        <f>投資後權重!D396/投資後權重!$F396</f>
        <v>0.85686815463727206</v>
      </c>
      <c r="E396">
        <f>投資後權重!E396/投資後權重!$F396</f>
        <v>6.1077425540584755E-2</v>
      </c>
      <c r="F396">
        <f t="shared" si="6"/>
        <v>1</v>
      </c>
    </row>
    <row r="397" spans="1:6">
      <c r="A397" t="s">
        <v>400</v>
      </c>
      <c r="B397">
        <f>投資後權重!B397/投資後權重!$F397</f>
        <v>0</v>
      </c>
      <c r="C397">
        <f>投資後權重!C397/投資後權重!$F397</f>
        <v>8.1687153551106922E-2</v>
      </c>
      <c r="D397">
        <f>投資後權重!D397/投資後權重!$F397</f>
        <v>0.85645786233748322</v>
      </c>
      <c r="E397">
        <f>投資後權重!E397/投資後權重!$F397</f>
        <v>6.1854984111409925E-2</v>
      </c>
      <c r="F397">
        <f t="shared" si="6"/>
        <v>1</v>
      </c>
    </row>
    <row r="398" spans="1:6">
      <c r="A398" t="s">
        <v>401</v>
      </c>
      <c r="B398">
        <f>投資後權重!B398/投資後權重!$F398</f>
        <v>0</v>
      </c>
      <c r="C398">
        <f>投資後權重!C398/投資後權重!$F398</f>
        <v>8.1229327746129523E-2</v>
      </c>
      <c r="D398">
        <f>投資後權重!D398/投資後權重!$F398</f>
        <v>0.8567656049168787</v>
      </c>
      <c r="E398">
        <f>投資後權重!E398/投資後權重!$F398</f>
        <v>6.2005067336991834E-2</v>
      </c>
      <c r="F398">
        <f t="shared" si="6"/>
        <v>1</v>
      </c>
    </row>
    <row r="399" spans="1:6">
      <c r="A399" t="s">
        <v>402</v>
      </c>
      <c r="B399">
        <f>投資後權重!B399/投資後權重!$F399</f>
        <v>0</v>
      </c>
      <c r="C399">
        <f>投資後權重!C399/投資後權重!$F399</f>
        <v>8.1506084138819476E-2</v>
      </c>
      <c r="D399">
        <f>投資後權重!D399/投資後權重!$F399</f>
        <v>0.85716220340437155</v>
      </c>
      <c r="E399">
        <f>投資後權重!E399/投資後權重!$F399</f>
        <v>6.1331712456809052E-2</v>
      </c>
      <c r="F399">
        <f t="shared" si="6"/>
        <v>1</v>
      </c>
    </row>
    <row r="400" spans="1:6">
      <c r="A400" t="s">
        <v>403</v>
      </c>
      <c r="B400">
        <f>投資後權重!B400/投資後權重!$F400</f>
        <v>0</v>
      </c>
      <c r="C400">
        <f>投資後權重!C400/投資後權重!$F400</f>
        <v>8.0269062394073429E-2</v>
      </c>
      <c r="D400">
        <f>投資後權重!D400/投資後權重!$F400</f>
        <v>0.85903967065098508</v>
      </c>
      <c r="E400">
        <f>投資後權重!E400/投資後權重!$F400</f>
        <v>6.0691266954941654E-2</v>
      </c>
      <c r="F400">
        <f t="shared" si="6"/>
        <v>1.0000000000000002</v>
      </c>
    </row>
    <row r="401" spans="1:6">
      <c r="A401" t="s">
        <v>404</v>
      </c>
      <c r="B401">
        <f>投資後權重!B401/投資後權重!$F401</f>
        <v>0</v>
      </c>
      <c r="C401">
        <f>投資後權重!C401/投資後權重!$F401</f>
        <v>8.1375267150971486E-2</v>
      </c>
      <c r="D401">
        <f>投資後權重!D401/投資後權重!$F401</f>
        <v>0.85716533609059209</v>
      </c>
      <c r="E401">
        <f>投資後權重!E401/投資後權重!$F401</f>
        <v>6.145939675843639E-2</v>
      </c>
      <c r="F401">
        <f t="shared" si="6"/>
        <v>0.99999999999999989</v>
      </c>
    </row>
    <row r="402" spans="1:6">
      <c r="A402" t="s">
        <v>405</v>
      </c>
      <c r="B402">
        <f>投資後權重!B402/投資後權重!$F402</f>
        <v>0</v>
      </c>
      <c r="C402">
        <f>投資後權重!C402/投資後權重!$F402</f>
        <v>8.0520819374770597E-2</v>
      </c>
      <c r="D402">
        <f>投資後權重!D402/投資後權重!$F402</f>
        <v>0.85858473907192301</v>
      </c>
      <c r="E402">
        <f>投資後權重!E402/投資後權重!$F402</f>
        <v>6.0894441553306457E-2</v>
      </c>
      <c r="F402">
        <f t="shared" si="6"/>
        <v>1</v>
      </c>
    </row>
    <row r="403" spans="1:6">
      <c r="A403" t="s">
        <v>406</v>
      </c>
      <c r="B403">
        <f>投資後權重!B403/投資後權重!$F403</f>
        <v>0</v>
      </c>
      <c r="C403">
        <f>投資後權重!C403/投資後權重!$F403</f>
        <v>7.8442178599941181E-2</v>
      </c>
      <c r="D403">
        <f>投資後權重!D403/投資後權重!$F403</f>
        <v>0.86118501600261432</v>
      </c>
      <c r="E403">
        <f>投資後權重!E403/投資後權重!$F403</f>
        <v>6.0372805397444586E-2</v>
      </c>
      <c r="F403">
        <f t="shared" si="6"/>
        <v>1</v>
      </c>
    </row>
    <row r="404" spans="1:6">
      <c r="A404" t="s">
        <v>407</v>
      </c>
      <c r="B404">
        <f>投資後權重!B404/投資後權重!$F404</f>
        <v>0</v>
      </c>
      <c r="C404">
        <f>投資後權重!C404/投資後權重!$F404</f>
        <v>7.8733182191208451E-2</v>
      </c>
      <c r="D404">
        <f>投資後權重!D404/投資後權重!$F404</f>
        <v>0.86067004230369437</v>
      </c>
      <c r="E404">
        <f>投資後權重!E404/投資後權重!$F404</f>
        <v>6.059677550509722E-2</v>
      </c>
      <c r="F404">
        <f t="shared" si="6"/>
        <v>1</v>
      </c>
    </row>
    <row r="405" spans="1:6">
      <c r="A405" t="s">
        <v>408</v>
      </c>
      <c r="B405">
        <f>投資後權重!B405/投資後權重!$F405</f>
        <v>0</v>
      </c>
      <c r="C405">
        <f>投資後權重!C405/投資後權重!$F405</f>
        <v>7.9339796340996818E-2</v>
      </c>
      <c r="D405">
        <f>投資後權重!D405/投資後權重!$F405</f>
        <v>0.85864984762984164</v>
      </c>
      <c r="E405">
        <f>投資後權重!E405/投資後權重!$F405</f>
        <v>6.2010356029161565E-2</v>
      </c>
      <c r="F405">
        <f t="shared" si="6"/>
        <v>1</v>
      </c>
    </row>
    <row r="406" spans="1:6">
      <c r="A406" t="s">
        <v>409</v>
      </c>
      <c r="B406">
        <f>投資後權重!B406/投資後權重!$F406</f>
        <v>0</v>
      </c>
      <c r="C406">
        <f>投資後權重!C406/投資後權重!$F406</f>
        <v>8.0285334724911867E-2</v>
      </c>
      <c r="D406">
        <f>投資後權重!D406/投資後權重!$F406</f>
        <v>0.85818234800077875</v>
      </c>
      <c r="E406">
        <f>投資後權重!E406/投資後權重!$F406</f>
        <v>6.1532317274309418E-2</v>
      </c>
      <c r="F406">
        <f t="shared" si="6"/>
        <v>1</v>
      </c>
    </row>
    <row r="407" spans="1:6">
      <c r="A407" t="s">
        <v>410</v>
      </c>
      <c r="B407">
        <f>投資後權重!B407/投資後權重!$F407</f>
        <v>0</v>
      </c>
      <c r="C407">
        <f>投資後權重!C407/投資後權重!$F407</f>
        <v>7.9657729081310608E-2</v>
      </c>
      <c r="D407">
        <f>投資後權重!D407/投資後權重!$F407</f>
        <v>0.8577040702126425</v>
      </c>
      <c r="E407">
        <f>投資後權重!E407/投資後權重!$F407</f>
        <v>6.2638200706046879E-2</v>
      </c>
      <c r="F407">
        <f t="shared" si="6"/>
        <v>1</v>
      </c>
    </row>
    <row r="408" spans="1:6">
      <c r="A408" t="s">
        <v>411</v>
      </c>
      <c r="B408">
        <f>投資後權重!B408/投資後權重!$F408</f>
        <v>0</v>
      </c>
      <c r="C408">
        <f>投資後權重!C408/投資後權重!$F408</f>
        <v>7.9138266343187519E-2</v>
      </c>
      <c r="D408">
        <f>投資後權重!D408/投資後權重!$F408</f>
        <v>0.85839173899616827</v>
      </c>
      <c r="E408">
        <f>投資後權重!E408/投資後權重!$F408</f>
        <v>6.2469994660644193E-2</v>
      </c>
      <c r="F408">
        <f t="shared" si="6"/>
        <v>1</v>
      </c>
    </row>
    <row r="409" spans="1:6">
      <c r="A409" t="s">
        <v>412</v>
      </c>
      <c r="B409">
        <f>投資後權重!B409/投資後權重!$F409</f>
        <v>0</v>
      </c>
      <c r="C409">
        <f>投資後權重!C409/投資後權重!$F409</f>
        <v>7.914266248864231E-2</v>
      </c>
      <c r="D409">
        <f>投資後權重!D409/投資後權重!$F409</f>
        <v>0.85616053523381475</v>
      </c>
      <c r="E409">
        <f>投資後權重!E409/投資後權重!$F409</f>
        <v>6.4696802277542959E-2</v>
      </c>
      <c r="F409">
        <f t="shared" si="6"/>
        <v>1</v>
      </c>
    </row>
    <row r="410" spans="1:6">
      <c r="A410" t="s">
        <v>413</v>
      </c>
      <c r="B410">
        <f>投資後權重!B410/投資後權重!$F410</f>
        <v>0</v>
      </c>
      <c r="C410">
        <f>投資後權重!C410/投資後權重!$F410</f>
        <v>7.8685105523445598E-2</v>
      </c>
      <c r="D410">
        <f>投資後權重!D410/投資後權重!$F410</f>
        <v>0.85859969353533661</v>
      </c>
      <c r="E410">
        <f>投資後權重!E410/投資後權重!$F410</f>
        <v>6.2715200941217769E-2</v>
      </c>
      <c r="F410">
        <f t="shared" si="6"/>
        <v>1</v>
      </c>
    </row>
    <row r="411" spans="1:6">
      <c r="A411" t="s">
        <v>414</v>
      </c>
      <c r="B411">
        <f>投資後權重!B411/投資後權重!$F411</f>
        <v>0</v>
      </c>
      <c r="C411">
        <f>投資後權重!C411/投資後權重!$F411</f>
        <v>7.9435569751798149E-2</v>
      </c>
      <c r="D411">
        <f>投資後權重!D411/投資後權重!$F411</f>
        <v>0.85899533856432853</v>
      </c>
      <c r="E411">
        <f>投資後權重!E411/投資後權重!$F411</f>
        <v>6.1569091683873305E-2</v>
      </c>
      <c r="F411">
        <f t="shared" si="6"/>
        <v>0.99999999999999989</v>
      </c>
    </row>
    <row r="412" spans="1:6">
      <c r="A412" t="s">
        <v>415</v>
      </c>
      <c r="B412">
        <f>投資後權重!B412/投資後權重!$F412</f>
        <v>0</v>
      </c>
      <c r="C412">
        <f>投資後權重!C412/投資後權重!$F412</f>
        <v>7.9342631158326932E-2</v>
      </c>
      <c r="D412">
        <f>投資後權重!D412/投資後權重!$F412</f>
        <v>0.85980365279923876</v>
      </c>
      <c r="E412">
        <f>投資後權重!E412/投資後權重!$F412</f>
        <v>6.085371604243426E-2</v>
      </c>
      <c r="F412">
        <f t="shared" si="6"/>
        <v>1</v>
      </c>
    </row>
    <row r="413" spans="1:6">
      <c r="A413" t="s">
        <v>416</v>
      </c>
      <c r="B413">
        <f>投資後權重!B413/投資後權重!$F413</f>
        <v>0</v>
      </c>
      <c r="C413">
        <f>投資後權重!C413/投資後權重!$F413</f>
        <v>7.9108640393393673E-2</v>
      </c>
      <c r="D413">
        <f>投資後權重!D413/投資後權重!$F413</f>
        <v>0.85979575937352271</v>
      </c>
      <c r="E413">
        <f>投資後權重!E413/投資後權重!$F413</f>
        <v>6.1095600233083545E-2</v>
      </c>
      <c r="F413">
        <f t="shared" si="6"/>
        <v>1</v>
      </c>
    </row>
    <row r="414" spans="1:6">
      <c r="A414" t="s">
        <v>417</v>
      </c>
      <c r="B414">
        <f>投資後權重!B414/投資後權重!$F414</f>
        <v>0</v>
      </c>
      <c r="C414">
        <f>投資後權重!C414/投資後權重!$F414</f>
        <v>7.7453790059249572E-2</v>
      </c>
      <c r="D414">
        <f>投資後權重!D414/投資後權重!$F414</f>
        <v>0.8605711304930006</v>
      </c>
      <c r="E414">
        <f>投資後權重!E414/投資後權重!$F414</f>
        <v>6.1975079447749742E-2</v>
      </c>
      <c r="F414">
        <f t="shared" si="6"/>
        <v>0.99999999999999989</v>
      </c>
    </row>
    <row r="415" spans="1:6">
      <c r="A415" t="s">
        <v>418</v>
      </c>
      <c r="B415">
        <f>投資後權重!B415/投資後權重!$F415</f>
        <v>0</v>
      </c>
      <c r="C415">
        <f>投資後權重!C415/投資後權重!$F415</f>
        <v>7.7148792109011932E-2</v>
      </c>
      <c r="D415">
        <f>投資後權重!D415/投資後權重!$F415</f>
        <v>0.86112301969118232</v>
      </c>
      <c r="E415">
        <f>投資後權重!E415/投資後權重!$F415</f>
        <v>6.1728188199805613E-2</v>
      </c>
      <c r="F415">
        <f t="shared" si="6"/>
        <v>0.99999999999999989</v>
      </c>
    </row>
    <row r="416" spans="1:6">
      <c r="A416" t="s">
        <v>419</v>
      </c>
      <c r="B416">
        <f>投資後權重!B416/投資後權重!$F416</f>
        <v>0</v>
      </c>
      <c r="C416">
        <f>投資後權重!C416/投資後權重!$F416</f>
        <v>7.7106566353398825E-2</v>
      </c>
      <c r="D416">
        <f>投資後權重!D416/投資後權重!$F416</f>
        <v>0.86205988319090454</v>
      </c>
      <c r="E416">
        <f>投資後權重!E416/投資後權重!$F416</f>
        <v>6.083355045569671E-2</v>
      </c>
      <c r="F416">
        <f t="shared" si="6"/>
        <v>1</v>
      </c>
    </row>
    <row r="417" spans="1:6">
      <c r="A417" t="s">
        <v>420</v>
      </c>
      <c r="B417">
        <f>投資後權重!B417/投資後權重!$F417</f>
        <v>0</v>
      </c>
      <c r="C417">
        <f>投資後權重!C417/投資後權重!$F417</f>
        <v>7.80431356652454E-2</v>
      </c>
      <c r="D417">
        <f>投資後權重!D417/投資後權重!$F417</f>
        <v>0.86296437237580415</v>
      </c>
      <c r="E417">
        <f>投資後權重!E417/投資後權重!$F417</f>
        <v>5.8992491958950379E-2</v>
      </c>
      <c r="F417">
        <f t="shared" si="6"/>
        <v>1</v>
      </c>
    </row>
    <row r="418" spans="1:6">
      <c r="A418" t="s">
        <v>421</v>
      </c>
      <c r="B418">
        <f>投資後權重!B418/投資後權重!$F418</f>
        <v>0</v>
      </c>
      <c r="C418">
        <f>投資後權重!C418/投資後權重!$F418</f>
        <v>7.7246044870930661E-2</v>
      </c>
      <c r="D418">
        <f>投資後權重!D418/投資後權重!$F418</f>
        <v>0.86631068881606887</v>
      </c>
      <c r="E418">
        <f>投資後權重!E418/投資後權重!$F418</f>
        <v>5.6443266313000513E-2</v>
      </c>
      <c r="F418">
        <f t="shared" si="6"/>
        <v>1</v>
      </c>
    </row>
    <row r="419" spans="1:6">
      <c r="A419" t="s">
        <v>422</v>
      </c>
      <c r="B419">
        <f>投資後權重!B419/投資後權重!$F419</f>
        <v>0</v>
      </c>
      <c r="C419">
        <f>投資後權重!C419/投資後權重!$F419</f>
        <v>7.6681083744084069E-2</v>
      </c>
      <c r="D419">
        <f>投資後權重!D419/投資後權重!$F419</f>
        <v>0.86972543361610932</v>
      </c>
      <c r="E419">
        <f>投資後權重!E419/投資後權重!$F419</f>
        <v>5.3593482639806608E-2</v>
      </c>
      <c r="F419">
        <f t="shared" si="6"/>
        <v>1</v>
      </c>
    </row>
    <row r="420" spans="1:6">
      <c r="A420" t="s">
        <v>423</v>
      </c>
      <c r="B420">
        <f>投資後權重!B420/投資後權重!$F420</f>
        <v>0</v>
      </c>
      <c r="C420">
        <f>投資後權重!C420/投資後權重!$F420</f>
        <v>7.7457136476950336E-2</v>
      </c>
      <c r="D420">
        <f>投資後權重!D420/投資後權重!$F420</f>
        <v>0.87064834006615943</v>
      </c>
      <c r="E420">
        <f>投資後權重!E420/投資後權重!$F420</f>
        <v>5.1894523456890232E-2</v>
      </c>
      <c r="F420">
        <f t="shared" si="6"/>
        <v>1</v>
      </c>
    </row>
    <row r="421" spans="1:6">
      <c r="A421" t="s">
        <v>424</v>
      </c>
      <c r="B421">
        <f>投資後權重!B421/投資後權重!$F421</f>
        <v>0</v>
      </c>
      <c r="C421">
        <f>投資後權重!C421/投資後權重!$F421</f>
        <v>8.0693694944581423E-2</v>
      </c>
      <c r="D421">
        <f>投資後權重!D421/投資後權重!$F421</f>
        <v>0.86629757945745789</v>
      </c>
      <c r="E421">
        <f>投資後權重!E421/投資後權重!$F421</f>
        <v>5.300872559796057E-2</v>
      </c>
      <c r="F421">
        <f t="shared" si="6"/>
        <v>0.99999999999999989</v>
      </c>
    </row>
    <row r="422" spans="1:6">
      <c r="A422" t="s">
        <v>425</v>
      </c>
      <c r="B422">
        <f>投資後權重!B422/投資後權重!$F422</f>
        <v>0</v>
      </c>
      <c r="C422">
        <f>投資後權重!C422/投資後權重!$F422</f>
        <v>7.8436532294857308E-2</v>
      </c>
      <c r="D422">
        <f>投資後權重!D422/投資後權重!$F422</f>
        <v>0.86897766967810874</v>
      </c>
      <c r="E422">
        <f>投資後權重!E422/投資後權重!$F422</f>
        <v>5.2585798027033975E-2</v>
      </c>
      <c r="F422">
        <f t="shared" si="6"/>
        <v>1</v>
      </c>
    </row>
    <row r="423" spans="1:6">
      <c r="A423" t="s">
        <v>426</v>
      </c>
      <c r="B423">
        <f>投資後權重!B423/投資後權重!$F423</f>
        <v>0</v>
      </c>
      <c r="C423">
        <f>投資後權重!C423/投資後權重!$F423</f>
        <v>7.7009312473831831E-2</v>
      </c>
      <c r="D423">
        <f>投資後權重!D423/投資後權重!$F423</f>
        <v>0.87032490267770235</v>
      </c>
      <c r="E423">
        <f>投資後權重!E423/投資後權重!$F423</f>
        <v>5.2665784848465798E-2</v>
      </c>
      <c r="F423">
        <f t="shared" si="6"/>
        <v>1</v>
      </c>
    </row>
    <row r="424" spans="1:6">
      <c r="A424" t="s">
        <v>427</v>
      </c>
      <c r="B424">
        <f>投資後權重!B424/投資後權重!$F424</f>
        <v>0</v>
      </c>
      <c r="C424">
        <f>投資後權重!C424/投資後權重!$F424</f>
        <v>7.7061186508657203E-2</v>
      </c>
      <c r="D424">
        <f>投資後權重!D424/投資後權重!$F424</f>
        <v>0.8721453277996728</v>
      </c>
      <c r="E424">
        <f>投資後權重!E424/投資後權重!$F424</f>
        <v>5.0793485691670116E-2</v>
      </c>
      <c r="F424">
        <f t="shared" si="6"/>
        <v>1.0000000000000002</v>
      </c>
    </row>
    <row r="425" spans="1:6">
      <c r="A425" t="s">
        <v>428</v>
      </c>
      <c r="B425">
        <f>投資後權重!B425/投資後權重!$F425</f>
        <v>0</v>
      </c>
      <c r="C425">
        <f>投資後權重!C425/投資後權重!$F425</f>
        <v>7.7155741792579807E-2</v>
      </c>
      <c r="D425">
        <f>投資後權重!D425/投資後權重!$F425</f>
        <v>0.87364653697988048</v>
      </c>
      <c r="E425">
        <f>投資後權重!E425/投資後權重!$F425</f>
        <v>4.9197721227539723E-2</v>
      </c>
      <c r="F425">
        <f t="shared" si="6"/>
        <v>1</v>
      </c>
    </row>
    <row r="426" spans="1:6">
      <c r="A426" t="s">
        <v>429</v>
      </c>
      <c r="B426">
        <f>投資後權重!B426/投資後權重!$F426</f>
        <v>0</v>
      </c>
      <c r="C426">
        <f>投資後權重!C426/投資後權重!$F426</f>
        <v>7.5660793081083061E-2</v>
      </c>
      <c r="D426">
        <f>投資後權重!D426/投資後權重!$F426</f>
        <v>0.87480674355609866</v>
      </c>
      <c r="E426">
        <f>投資後權重!E426/投資後權重!$F426</f>
        <v>4.9532463362818198E-2</v>
      </c>
      <c r="F426">
        <f t="shared" si="6"/>
        <v>1</v>
      </c>
    </row>
    <row r="427" spans="1:6">
      <c r="A427" t="s">
        <v>430</v>
      </c>
      <c r="B427">
        <f>投資後權重!B427/投資後權重!$F427</f>
        <v>0</v>
      </c>
      <c r="C427">
        <f>投資後權重!C427/投資後權重!$F427</f>
        <v>7.4632784007855016E-2</v>
      </c>
      <c r="D427">
        <f>投資後權重!D427/投資後權重!$F427</f>
        <v>0.87675195417251905</v>
      </c>
      <c r="E427">
        <f>投資後權重!E427/投資後權重!$F427</f>
        <v>4.8615261819625916E-2</v>
      </c>
      <c r="F427">
        <f t="shared" si="6"/>
        <v>1</v>
      </c>
    </row>
    <row r="428" spans="1:6">
      <c r="A428" t="s">
        <v>431</v>
      </c>
      <c r="B428">
        <f>投資後權重!B428/投資後權重!$F428</f>
        <v>0</v>
      </c>
      <c r="C428">
        <f>投資後權重!C428/投資後權重!$F428</f>
        <v>7.448493290705914E-2</v>
      </c>
      <c r="D428">
        <f>投資後權重!D428/投資後權重!$F428</f>
        <v>0.87624137515936906</v>
      </c>
      <c r="E428">
        <f>投資後權重!E428/投資後權重!$F428</f>
        <v>4.927369193357186E-2</v>
      </c>
      <c r="F428">
        <f t="shared" si="6"/>
        <v>1</v>
      </c>
    </row>
    <row r="429" spans="1:6">
      <c r="A429" t="s">
        <v>432</v>
      </c>
      <c r="B429">
        <f>投資後權重!B429/投資後權重!$F429</f>
        <v>0</v>
      </c>
      <c r="C429">
        <f>投資後權重!C429/投資後權重!$F429</f>
        <v>7.2290881982145699E-2</v>
      </c>
      <c r="D429">
        <f>投資後權重!D429/投資後權重!$F429</f>
        <v>0.87913119034507881</v>
      </c>
      <c r="E429">
        <f>投資後權重!E429/投資後權重!$F429</f>
        <v>4.8577927672775544E-2</v>
      </c>
      <c r="F429">
        <f t="shared" si="6"/>
        <v>1</v>
      </c>
    </row>
    <row r="430" spans="1:6">
      <c r="A430" t="s">
        <v>433</v>
      </c>
      <c r="B430">
        <f>投資後權重!B430/投資後權重!$F430</f>
        <v>0</v>
      </c>
      <c r="C430">
        <f>投資後權重!C430/投資後權重!$F430</f>
        <v>7.0793632965438821E-2</v>
      </c>
      <c r="D430">
        <f>投資後權重!D430/投資後權重!$F430</f>
        <v>0.87973615320456144</v>
      </c>
      <c r="E430">
        <f>投資後權重!E430/投資後權重!$F430</f>
        <v>4.9470213829999894E-2</v>
      </c>
      <c r="F430">
        <f t="shared" si="6"/>
        <v>1.0000000000000002</v>
      </c>
    </row>
    <row r="431" spans="1:6">
      <c r="A431" t="s">
        <v>434</v>
      </c>
      <c r="B431">
        <f>投資後權重!B431/投資後權重!$F431</f>
        <v>0</v>
      </c>
      <c r="C431">
        <f>投資後權重!C431/投資後權重!$F431</f>
        <v>6.8201731536198573E-2</v>
      </c>
      <c r="D431">
        <f>投資後權重!D431/投資後權重!$F431</f>
        <v>0.88251978073664461</v>
      </c>
      <c r="E431">
        <f>投資後權重!E431/投資後權重!$F431</f>
        <v>4.9278487727156844E-2</v>
      </c>
      <c r="F431">
        <f t="shared" si="6"/>
        <v>1</v>
      </c>
    </row>
    <row r="432" spans="1:6">
      <c r="A432" t="s">
        <v>435</v>
      </c>
      <c r="B432">
        <f>投資後權重!B432/投資後權重!$F432</f>
        <v>0</v>
      </c>
      <c r="C432">
        <f>投資後權重!C432/投資後權重!$F432</f>
        <v>6.6703808589623728E-2</v>
      </c>
      <c r="D432">
        <f>投資後權重!D432/投資後權重!$F432</f>
        <v>0.88521671088668685</v>
      </c>
      <c r="E432">
        <f>投資後權重!E432/投資後權重!$F432</f>
        <v>4.8079480523689447E-2</v>
      </c>
      <c r="F432">
        <f t="shared" si="6"/>
        <v>1</v>
      </c>
    </row>
    <row r="433" spans="1:6">
      <c r="A433" t="s">
        <v>436</v>
      </c>
      <c r="B433">
        <f>投資後權重!B433/投資後權重!$F433</f>
        <v>0</v>
      </c>
      <c r="C433">
        <f>投資後權重!C433/投資後權重!$F433</f>
        <v>7.0800679275852707E-2</v>
      </c>
      <c r="D433">
        <f>投資後權重!D433/投資後權重!$F433</f>
        <v>0.88194279901273231</v>
      </c>
      <c r="E433">
        <f>投資後權重!E433/投資後權重!$F433</f>
        <v>4.725652171141502E-2</v>
      </c>
      <c r="F433">
        <f t="shared" si="6"/>
        <v>1</v>
      </c>
    </row>
    <row r="434" spans="1:6">
      <c r="A434" t="s">
        <v>437</v>
      </c>
      <c r="B434">
        <f>投資後權重!B434/投資後權重!$F434</f>
        <v>0</v>
      </c>
      <c r="C434">
        <f>投資後權重!C434/投資後權重!$F434</f>
        <v>7.3355186678258688E-2</v>
      </c>
      <c r="D434">
        <f>投資後權重!D434/投資後權重!$F434</f>
        <v>0.87843984393297037</v>
      </c>
      <c r="E434">
        <f>投資後權重!E434/投資後權重!$F434</f>
        <v>4.8204969388770939E-2</v>
      </c>
      <c r="F434">
        <f t="shared" si="6"/>
        <v>1</v>
      </c>
    </row>
    <row r="435" spans="1:6">
      <c r="A435" t="s">
        <v>438</v>
      </c>
      <c r="B435">
        <f>投資後權重!B435/投資後權重!$F435</f>
        <v>0</v>
      </c>
      <c r="C435">
        <f>投資後權重!C435/投資後權重!$F435</f>
        <v>7.5574310457511035E-2</v>
      </c>
      <c r="D435">
        <f>投資後權重!D435/投資後權重!$F435</f>
        <v>0.87726121491934705</v>
      </c>
      <c r="E435">
        <f>投資後權重!E435/投資後權重!$F435</f>
        <v>4.7164474623142071E-2</v>
      </c>
      <c r="F435">
        <f t="shared" si="6"/>
        <v>1.0000000000000002</v>
      </c>
    </row>
    <row r="436" spans="1:6">
      <c r="A436" t="s">
        <v>439</v>
      </c>
      <c r="B436">
        <f>投資後權重!B436/投資後權重!$F436</f>
        <v>0</v>
      </c>
      <c r="C436">
        <f>投資後權重!C436/投資後權重!$F436</f>
        <v>7.5720750220555605E-2</v>
      </c>
      <c r="D436">
        <f>投資後權重!D436/投資後權重!$F436</f>
        <v>0.87712224655672533</v>
      </c>
      <c r="E436">
        <f>投資後權重!E436/投資後權重!$F436</f>
        <v>4.7157003222719006E-2</v>
      </c>
      <c r="F436">
        <f t="shared" si="6"/>
        <v>0.99999999999999989</v>
      </c>
    </row>
    <row r="437" spans="1:6">
      <c r="A437" t="s">
        <v>440</v>
      </c>
      <c r="B437">
        <f>投資後權重!B437/投資後權重!$F437</f>
        <v>0</v>
      </c>
      <c r="C437">
        <f>投資後權重!C437/投資後權重!$F437</f>
        <v>7.7664063679195997E-2</v>
      </c>
      <c r="D437">
        <f>投資後權重!D437/投資後權重!$F437</f>
        <v>0.87466676975435587</v>
      </c>
      <c r="E437">
        <f>投資後權重!E437/投資後權重!$F437</f>
        <v>4.7669166566448318E-2</v>
      </c>
      <c r="F437">
        <f t="shared" si="6"/>
        <v>1.0000000000000002</v>
      </c>
    </row>
    <row r="438" spans="1:6">
      <c r="A438" t="s">
        <v>441</v>
      </c>
      <c r="B438">
        <f>投資後權重!B438/投資後權重!$F438</f>
        <v>0</v>
      </c>
      <c r="C438">
        <f>投資後權重!C438/投資後權重!$F438</f>
        <v>7.709139710059075E-2</v>
      </c>
      <c r="D438">
        <f>投資後權重!D438/投資後權重!$F438</f>
        <v>0.8748979948305845</v>
      </c>
      <c r="E438">
        <f>投資後權重!E438/投資後權重!$F438</f>
        <v>4.801060806882472E-2</v>
      </c>
      <c r="F438">
        <f t="shared" si="6"/>
        <v>1</v>
      </c>
    </row>
    <row r="439" spans="1:6">
      <c r="A439" t="s">
        <v>442</v>
      </c>
      <c r="B439">
        <f>投資後權重!B439/投資後權重!$F439</f>
        <v>0</v>
      </c>
      <c r="C439">
        <f>投資後權重!C439/投資後權重!$F439</f>
        <v>7.7911792402004798E-2</v>
      </c>
      <c r="D439">
        <f>投資後權重!D439/投資後權重!$F439</f>
        <v>0.87504299200140367</v>
      </c>
      <c r="E439">
        <f>投資後權重!E439/投資後權重!$F439</f>
        <v>4.7045215596591534E-2</v>
      </c>
      <c r="F439">
        <f t="shared" si="6"/>
        <v>1</v>
      </c>
    </row>
    <row r="440" spans="1:6">
      <c r="A440" t="s">
        <v>443</v>
      </c>
      <c r="B440">
        <f>投資後權重!B440/投資後權重!$F440</f>
        <v>0</v>
      </c>
      <c r="C440">
        <f>投資後權重!C440/投資後權重!$F440</f>
        <v>7.9164497269897355E-2</v>
      </c>
      <c r="D440">
        <f>投資後權重!D440/投資後權重!$F440</f>
        <v>0.87370309341615138</v>
      </c>
      <c r="E440">
        <f>投資後權重!E440/投資後權重!$F440</f>
        <v>4.7132409313951282E-2</v>
      </c>
      <c r="F440">
        <f t="shared" si="6"/>
        <v>1</v>
      </c>
    </row>
    <row r="441" spans="1:6">
      <c r="A441" t="s">
        <v>444</v>
      </c>
      <c r="B441">
        <f>投資後權重!B441/投資後權重!$F441</f>
        <v>0</v>
      </c>
      <c r="C441">
        <f>投資後權重!C441/投資後權重!$F441</f>
        <v>8.0642676577872427E-2</v>
      </c>
      <c r="D441">
        <f>投資後權重!D441/投資後權重!$F441</f>
        <v>0.8731914797125605</v>
      </c>
      <c r="E441">
        <f>投資後權重!E441/投資後權重!$F441</f>
        <v>4.6165843709567111E-2</v>
      </c>
      <c r="F441">
        <f t="shared" si="6"/>
        <v>1</v>
      </c>
    </row>
    <row r="442" spans="1:6">
      <c r="A442" t="s">
        <v>445</v>
      </c>
      <c r="B442">
        <f>投資後權重!B442/投資後權重!$F442</f>
        <v>0</v>
      </c>
      <c r="C442">
        <f>投資後權重!C442/投資後權重!$F442</f>
        <v>8.1212626370298982E-2</v>
      </c>
      <c r="D442">
        <f>投資後權重!D442/投資後權重!$F442</f>
        <v>0.87265015014468561</v>
      </c>
      <c r="E442">
        <f>投資後權重!E442/投資後權重!$F442</f>
        <v>4.6137223485015547E-2</v>
      </c>
      <c r="F442">
        <f t="shared" si="6"/>
        <v>1.0000000000000002</v>
      </c>
    </row>
    <row r="443" spans="1:6">
      <c r="A443" t="s">
        <v>446</v>
      </c>
      <c r="B443">
        <f>投資後權重!B443/投資後權重!$F443</f>
        <v>0</v>
      </c>
      <c r="C443">
        <f>投資後權重!C443/投資後權重!$F443</f>
        <v>8.0161971994383838E-2</v>
      </c>
      <c r="D443">
        <f>投資後權重!D443/投資後權重!$F443</f>
        <v>0.87350183490162381</v>
      </c>
      <c r="E443">
        <f>投資後權重!E443/投資後權重!$F443</f>
        <v>4.6336193103992424E-2</v>
      </c>
      <c r="F443">
        <f t="shared" si="6"/>
        <v>1</v>
      </c>
    </row>
    <row r="444" spans="1:6">
      <c r="A444" t="s">
        <v>447</v>
      </c>
      <c r="B444">
        <f>投資後權重!B444/投資後權重!$F444</f>
        <v>0</v>
      </c>
      <c r="C444">
        <f>投資後權重!C444/投資後權重!$F444</f>
        <v>7.7985648471411664E-2</v>
      </c>
      <c r="D444">
        <f>投資後權重!D444/投資後權重!$F444</f>
        <v>0.87586071883217642</v>
      </c>
      <c r="E444">
        <f>投資後權重!E444/投資後權重!$F444</f>
        <v>4.6153632696411928E-2</v>
      </c>
      <c r="F444">
        <f t="shared" si="6"/>
        <v>1</v>
      </c>
    </row>
    <row r="445" spans="1:6">
      <c r="A445" t="s">
        <v>448</v>
      </c>
      <c r="B445">
        <f>投資後權重!B445/投資後權重!$F445</f>
        <v>0</v>
      </c>
      <c r="C445">
        <f>投資後權重!C445/投資後權重!$F445</f>
        <v>7.6057495249432491E-2</v>
      </c>
      <c r="D445">
        <f>投資後權重!D445/投資後權重!$F445</f>
        <v>0.87754641458600868</v>
      </c>
      <c r="E445">
        <f>投資後權重!E445/投資後權重!$F445</f>
        <v>4.639609016455902E-2</v>
      </c>
      <c r="F445">
        <f t="shared" si="6"/>
        <v>1.0000000000000002</v>
      </c>
    </row>
    <row r="446" spans="1:6">
      <c r="A446" t="s">
        <v>449</v>
      </c>
      <c r="B446">
        <f>投資後權重!B446/投資後權重!$F446</f>
        <v>0</v>
      </c>
      <c r="C446">
        <f>投資後權重!C446/投資後權重!$F446</f>
        <v>7.8991410952144681E-2</v>
      </c>
      <c r="D446">
        <f>投資後權重!D446/投資後權重!$F446</f>
        <v>0.87340802388329775</v>
      </c>
      <c r="E446">
        <f>投資後權重!E446/投資後權重!$F446</f>
        <v>4.7600565164557691E-2</v>
      </c>
      <c r="F446">
        <f t="shared" si="6"/>
        <v>1.0000000000000002</v>
      </c>
    </row>
    <row r="447" spans="1:6">
      <c r="A447" t="s">
        <v>450</v>
      </c>
      <c r="B447">
        <f>投資後權重!B447/投資後權重!$F447</f>
        <v>0</v>
      </c>
      <c r="C447">
        <f>投資後權重!C447/投資後權重!$F447</f>
        <v>7.9049487181363037E-2</v>
      </c>
      <c r="D447">
        <f>投資後權重!D447/投資後權重!$F447</f>
        <v>0.87350702954733772</v>
      </c>
      <c r="E447">
        <f>投資後權重!E447/投資後權重!$F447</f>
        <v>4.7443483271299228E-2</v>
      </c>
      <c r="F447">
        <f t="shared" si="6"/>
        <v>1</v>
      </c>
    </row>
    <row r="448" spans="1:6">
      <c r="A448" t="s">
        <v>451</v>
      </c>
      <c r="B448">
        <f>投資後權重!B448/投資後權重!$F448</f>
        <v>0</v>
      </c>
      <c r="C448">
        <f>投資後權重!C448/投資後權重!$F448</f>
        <v>7.810693766784578E-2</v>
      </c>
      <c r="D448">
        <f>投資後權重!D448/投資後權重!$F448</f>
        <v>0.87424678485969176</v>
      </c>
      <c r="E448">
        <f>投資後權重!E448/投資後權重!$F448</f>
        <v>4.764627747246257E-2</v>
      </c>
      <c r="F448">
        <f t="shared" si="6"/>
        <v>1.0000000000000002</v>
      </c>
    </row>
    <row r="449" spans="1:6">
      <c r="A449" t="s">
        <v>452</v>
      </c>
      <c r="B449">
        <f>投資後權重!B449/投資後權重!$F449</f>
        <v>0</v>
      </c>
      <c r="C449">
        <f>投資後權重!C449/投資後權重!$F449</f>
        <v>7.9018679223388927E-2</v>
      </c>
      <c r="D449">
        <f>投資後權重!D449/投資後權重!$F449</f>
        <v>0.87384144785397733</v>
      </c>
      <c r="E449">
        <f>投資後權重!E449/投資後權重!$F449</f>
        <v>4.7139872922633885E-2</v>
      </c>
      <c r="F449">
        <f t="shared" si="6"/>
        <v>1</v>
      </c>
    </row>
    <row r="450" spans="1:6">
      <c r="A450" t="s">
        <v>453</v>
      </c>
      <c r="B450">
        <f>投資後權重!B450/投資後權重!$F450</f>
        <v>0</v>
      </c>
      <c r="C450">
        <f>投資後權重!C450/投資後權重!$F450</f>
        <v>7.8608949943457004E-2</v>
      </c>
      <c r="D450">
        <f>投資後權重!D450/投資後權重!$F450</f>
        <v>0.87392487216616699</v>
      </c>
      <c r="E450">
        <f>投資後權重!E450/投資後權重!$F450</f>
        <v>4.7466177890376014E-2</v>
      </c>
      <c r="F450">
        <f t="shared" si="6"/>
        <v>1</v>
      </c>
    </row>
    <row r="451" spans="1:6">
      <c r="A451" t="s">
        <v>454</v>
      </c>
      <c r="B451">
        <f>投資後權重!B451/投資後權重!$F451</f>
        <v>0</v>
      </c>
      <c r="C451">
        <f>投資後權重!C451/投資後權重!$F451</f>
        <v>7.9455994883416883E-2</v>
      </c>
      <c r="D451">
        <f>投資後權重!D451/投資後權重!$F451</f>
        <v>0.8734265159320076</v>
      </c>
      <c r="E451">
        <f>投資後權重!E451/投資後權重!$F451</f>
        <v>4.7117489184575638E-2</v>
      </c>
      <c r="F451">
        <f t="shared" si="6"/>
        <v>1.0000000000000002</v>
      </c>
    </row>
    <row r="452" spans="1:6">
      <c r="A452" t="s">
        <v>455</v>
      </c>
      <c r="B452">
        <f>投資後權重!B452/投資後權重!$F452</f>
        <v>0</v>
      </c>
      <c r="C452">
        <f>投資後權重!C452/投資後權重!$F452</f>
        <v>8.0461767680795174E-2</v>
      </c>
      <c r="D452">
        <f>投資後權重!D452/投資後權重!$F452</f>
        <v>0.87201365972638811</v>
      </c>
      <c r="E452">
        <f>投資後權重!E452/投資後權重!$F452</f>
        <v>4.7524572592816713E-2</v>
      </c>
      <c r="F452">
        <f t="shared" ref="F452:F479" si="7">SUM(B452:E452)</f>
        <v>1</v>
      </c>
    </row>
    <row r="453" spans="1:6">
      <c r="A453" t="s">
        <v>456</v>
      </c>
      <c r="B453">
        <f>投資後權重!B453/投資後權重!$F453</f>
        <v>0</v>
      </c>
      <c r="C453">
        <f>投資後權重!C453/投資後權重!$F453</f>
        <v>7.8634713872822115E-2</v>
      </c>
      <c r="D453">
        <f>投資後權重!D453/投資後權重!$F453</f>
        <v>0.87279994323352417</v>
      </c>
      <c r="E453">
        <f>投資後權重!E453/投資後權重!$F453</f>
        <v>4.8565342893653746E-2</v>
      </c>
      <c r="F453">
        <f t="shared" si="7"/>
        <v>1</v>
      </c>
    </row>
    <row r="454" spans="1:6">
      <c r="A454" t="s">
        <v>457</v>
      </c>
      <c r="B454">
        <f>投資後權重!B454/投資後權重!$F454</f>
        <v>0</v>
      </c>
      <c r="C454">
        <f>投資後權重!C454/投資後權重!$F454</f>
        <v>7.6428255943168349E-2</v>
      </c>
      <c r="D454">
        <f>投資後權重!D454/投資後權重!$F454</f>
        <v>0.87536906934187719</v>
      </c>
      <c r="E454">
        <f>投資後權重!E454/投資後權重!$F454</f>
        <v>4.8202674714954569E-2</v>
      </c>
      <c r="F454">
        <f t="shared" si="7"/>
        <v>1.0000000000000002</v>
      </c>
    </row>
    <row r="455" spans="1:6">
      <c r="A455" t="s">
        <v>458</v>
      </c>
      <c r="B455">
        <f>投資後權重!B455/投資後權重!$F455</f>
        <v>0</v>
      </c>
      <c r="C455">
        <f>投資後權重!C455/投資後權重!$F455</f>
        <v>7.6487198838960838E-2</v>
      </c>
      <c r="D455">
        <f>投資後權重!D455/投資後權重!$F455</f>
        <v>0.87401452078778175</v>
      </c>
      <c r="E455">
        <f>投資後權重!E455/投資後權重!$F455</f>
        <v>4.9498280373257396E-2</v>
      </c>
      <c r="F455">
        <f t="shared" si="7"/>
        <v>1</v>
      </c>
    </row>
    <row r="456" spans="1:6">
      <c r="A456" t="s">
        <v>459</v>
      </c>
      <c r="B456">
        <f>投資後權重!B456/投資後權重!$F456</f>
        <v>0</v>
      </c>
      <c r="C456">
        <f>投資後權重!C456/投資後權重!$F456</f>
        <v>7.6657001897925792E-2</v>
      </c>
      <c r="D456">
        <f>投資後權重!D456/投資後權重!$F456</f>
        <v>0.87351820103775102</v>
      </c>
      <c r="E456">
        <f>投資後權重!E456/投資後權重!$F456</f>
        <v>4.9824797064323287E-2</v>
      </c>
      <c r="F456">
        <f t="shared" si="7"/>
        <v>1</v>
      </c>
    </row>
    <row r="457" spans="1:6">
      <c r="A457" t="s">
        <v>460</v>
      </c>
      <c r="B457">
        <f>投資後權重!B457/投資後權重!$F457</f>
        <v>0</v>
      </c>
      <c r="C457">
        <f>投資後權重!C457/投資後權重!$F457</f>
        <v>7.6116746102305441E-2</v>
      </c>
      <c r="D457">
        <f>投資後權重!D457/投資後權重!$F457</f>
        <v>0.87597853892682798</v>
      </c>
      <c r="E457">
        <f>投資後權重!E457/投資後權重!$F457</f>
        <v>4.7904714970866742E-2</v>
      </c>
      <c r="F457">
        <f t="shared" si="7"/>
        <v>1.0000000000000002</v>
      </c>
    </row>
    <row r="458" spans="1:6">
      <c r="A458" t="s">
        <v>461</v>
      </c>
      <c r="B458">
        <f>投資後權重!B458/投資後權重!$F458</f>
        <v>0</v>
      </c>
      <c r="C458">
        <f>投資後權重!C458/投資後權重!$F458</f>
        <v>7.5894874155775852E-2</v>
      </c>
      <c r="D458">
        <f>投資後權重!D458/投資後權重!$F458</f>
        <v>0.8738987216422478</v>
      </c>
      <c r="E458">
        <f>投資後權重!E458/投資後權重!$F458</f>
        <v>5.020640420197639E-2</v>
      </c>
      <c r="F458">
        <f t="shared" si="7"/>
        <v>1</v>
      </c>
    </row>
    <row r="459" spans="1:6">
      <c r="A459" t="s">
        <v>462</v>
      </c>
      <c r="B459">
        <f>投資後權重!B459/投資後權重!$F459</f>
        <v>0</v>
      </c>
      <c r="C459">
        <f>投資後權重!C459/投資後權重!$F459</f>
        <v>7.4806495893252126E-2</v>
      </c>
      <c r="D459">
        <f>投資後權重!D459/投資後權重!$F459</f>
        <v>0.87458239878784838</v>
      </c>
      <c r="E459">
        <f>投資後權重!E459/投資後權重!$F459</f>
        <v>5.0611105318899632E-2</v>
      </c>
      <c r="F459">
        <f t="shared" si="7"/>
        <v>1.0000000000000002</v>
      </c>
    </row>
    <row r="460" spans="1:6">
      <c r="A460" t="s">
        <v>463</v>
      </c>
      <c r="B460">
        <f>投資後權重!B460/投資後權重!$F460</f>
        <v>0</v>
      </c>
      <c r="C460">
        <f>投資後權重!C460/投資後權重!$F460</f>
        <v>7.2642956182001214E-2</v>
      </c>
      <c r="D460">
        <f>投資後權重!D460/投資後權重!$F460</f>
        <v>0.87798528649691854</v>
      </c>
      <c r="E460">
        <f>投資後權重!E460/投資後權重!$F460</f>
        <v>4.9371757321080241E-2</v>
      </c>
      <c r="F460">
        <f t="shared" si="7"/>
        <v>1</v>
      </c>
    </row>
    <row r="461" spans="1:6">
      <c r="A461" t="s">
        <v>464</v>
      </c>
      <c r="B461">
        <f>投資後權重!B461/投資後權重!$F461</f>
        <v>0</v>
      </c>
      <c r="C461">
        <f>投資後權重!C461/投資後權重!$F461</f>
        <v>7.3953166780412957E-2</v>
      </c>
      <c r="D461">
        <f>投資後權重!D461/投資後權重!$F461</f>
        <v>0.877555948294515</v>
      </c>
      <c r="E461">
        <f>投資後權重!E461/投資後權重!$F461</f>
        <v>4.8490884925072149E-2</v>
      </c>
      <c r="F461">
        <f t="shared" si="7"/>
        <v>1.0000000000000002</v>
      </c>
    </row>
    <row r="462" spans="1:6">
      <c r="A462" t="s">
        <v>465</v>
      </c>
      <c r="B462">
        <f>投資後權重!B462/投資後權重!$F462</f>
        <v>0</v>
      </c>
      <c r="C462">
        <f>投資後權重!C462/投資後權重!$F462</f>
        <v>7.5387777271639589E-2</v>
      </c>
      <c r="D462">
        <f>投資後權重!D462/投資後權重!$F462</f>
        <v>0.87603662537334559</v>
      </c>
      <c r="E462">
        <f>投資後權重!E462/投資後權重!$F462</f>
        <v>4.8575597355014891E-2</v>
      </c>
      <c r="F462">
        <f t="shared" si="7"/>
        <v>1</v>
      </c>
    </row>
    <row r="463" spans="1:6">
      <c r="A463" t="s">
        <v>466</v>
      </c>
      <c r="B463">
        <f>投資後權重!B463/投資後權重!$F463</f>
        <v>0</v>
      </c>
      <c r="C463">
        <f>投資後權重!C463/投資後權重!$F463</f>
        <v>7.3500407448541097E-2</v>
      </c>
      <c r="D463">
        <f>投資後權重!D463/投資後權重!$F463</f>
        <v>0.87798499964545862</v>
      </c>
      <c r="E463">
        <f>投資後權重!E463/投資後權重!$F463</f>
        <v>4.8514592906000312E-2</v>
      </c>
      <c r="F463">
        <f t="shared" si="7"/>
        <v>1</v>
      </c>
    </row>
    <row r="464" spans="1:6">
      <c r="A464" t="s">
        <v>467</v>
      </c>
      <c r="B464">
        <f>投資後權重!B464/投資後權重!$F464</f>
        <v>0</v>
      </c>
      <c r="C464">
        <f>投資後權重!C464/投資後權重!$F464</f>
        <v>7.3793571287336837E-2</v>
      </c>
      <c r="D464">
        <f>投資後權重!D464/投資後權重!$F464</f>
        <v>0.8767304099579073</v>
      </c>
      <c r="E464">
        <f>投資後權重!E464/投資後權重!$F464</f>
        <v>4.9476018754755921E-2</v>
      </c>
      <c r="F464">
        <f t="shared" si="7"/>
        <v>1</v>
      </c>
    </row>
    <row r="465" spans="1:6">
      <c r="A465" t="s">
        <v>468</v>
      </c>
      <c r="B465">
        <f>投資後權重!B465/投資後權重!$F465</f>
        <v>0</v>
      </c>
      <c r="C465">
        <f>投資後權重!C465/投資後權重!$F465</f>
        <v>7.2887154481251548E-2</v>
      </c>
      <c r="D465">
        <f>投資後權重!D465/投資後權重!$F465</f>
        <v>0.87824454765505622</v>
      </c>
      <c r="E465">
        <f>投資後權重!E465/投資後權重!$F465</f>
        <v>4.8868297863692373E-2</v>
      </c>
      <c r="F465">
        <f t="shared" si="7"/>
        <v>1</v>
      </c>
    </row>
    <row r="466" spans="1:6">
      <c r="A466" t="s">
        <v>469</v>
      </c>
      <c r="B466">
        <f>投資後權重!B466/投資後權重!$F466</f>
        <v>0</v>
      </c>
      <c r="C466">
        <f>投資後權重!C466/投資後權重!$F466</f>
        <v>7.3505215812586538E-2</v>
      </c>
      <c r="D466">
        <f>投資後權重!D466/投資後權重!$F466</f>
        <v>0.87829761946092921</v>
      </c>
      <c r="E466">
        <f>投資後權重!E466/投資後權重!$F466</f>
        <v>4.8197164726484269E-2</v>
      </c>
      <c r="F466">
        <f t="shared" si="7"/>
        <v>1</v>
      </c>
    </row>
    <row r="467" spans="1:6">
      <c r="A467" t="s">
        <v>470</v>
      </c>
      <c r="B467">
        <f>投資後權重!B467/投資後權重!$F467</f>
        <v>0</v>
      </c>
      <c r="C467">
        <f>投資後權重!C467/投資後權重!$F467</f>
        <v>7.4179563954497776E-2</v>
      </c>
      <c r="D467">
        <f>投資後權重!D467/投資後權重!$F467</f>
        <v>0.87750039852775352</v>
      </c>
      <c r="E467">
        <f>投資後權重!E467/投資後權重!$F467</f>
        <v>4.8320037517748771E-2</v>
      </c>
      <c r="F467">
        <f t="shared" si="7"/>
        <v>1</v>
      </c>
    </row>
    <row r="468" spans="1:6">
      <c r="A468" t="s">
        <v>471</v>
      </c>
      <c r="B468">
        <f>投資後權重!B468/投資後權重!$F468</f>
        <v>0</v>
      </c>
      <c r="C468">
        <f>投資後權重!C468/投資後權重!$F468</f>
        <v>7.4254507786962812E-2</v>
      </c>
      <c r="D468">
        <f>投資後權重!D468/投資後權重!$F468</f>
        <v>0.87790010927970552</v>
      </c>
      <c r="E468">
        <f>投資後權重!E468/投資後權重!$F468</f>
        <v>4.7845382933331793E-2</v>
      </c>
      <c r="F468">
        <f t="shared" si="7"/>
        <v>1.0000000000000002</v>
      </c>
    </row>
    <row r="469" spans="1:6">
      <c r="A469" t="s">
        <v>472</v>
      </c>
      <c r="B469">
        <f>投資後權重!B469/投資後權重!$F469</f>
        <v>0</v>
      </c>
      <c r="C469">
        <f>投資後權重!C469/投資後權重!$F469</f>
        <v>7.3015826799915709E-2</v>
      </c>
      <c r="D469">
        <f>投資後權重!D469/投資後權重!$F469</f>
        <v>0.88013971572638039</v>
      </c>
      <c r="E469">
        <f>投資後權重!E469/投資後權重!$F469</f>
        <v>4.6844457473703895E-2</v>
      </c>
      <c r="F469">
        <f t="shared" si="7"/>
        <v>1</v>
      </c>
    </row>
    <row r="470" spans="1:6">
      <c r="A470" t="s">
        <v>473</v>
      </c>
      <c r="B470">
        <f>投資後權重!B470/投資後權重!$F470</f>
        <v>0</v>
      </c>
      <c r="C470">
        <f>投資後權重!C470/投資後權重!$F470</f>
        <v>7.4547931393307759E-2</v>
      </c>
      <c r="D470">
        <f>投資後權重!D470/投資後權重!$F470</f>
        <v>0.87823522781731866</v>
      </c>
      <c r="E470">
        <f>投資後權重!E470/投資後權重!$F470</f>
        <v>4.7216840789373715E-2</v>
      </c>
      <c r="F470">
        <f t="shared" si="7"/>
        <v>1</v>
      </c>
    </row>
    <row r="471" spans="1:6">
      <c r="A471" t="s">
        <v>474</v>
      </c>
      <c r="B471">
        <f>投資後權重!B471/投資後權重!$F471</f>
        <v>0</v>
      </c>
      <c r="C471">
        <f>投資後權重!C471/投資後權重!$F471</f>
        <v>7.3023532804244784E-2</v>
      </c>
      <c r="D471">
        <f>投資後權重!D471/投資後權重!$F471</f>
        <v>0.88042802556512656</v>
      </c>
      <c r="E471">
        <f>投資後權重!E471/投資後權重!$F471</f>
        <v>4.6548441630628698E-2</v>
      </c>
      <c r="F471">
        <f t="shared" si="7"/>
        <v>1</v>
      </c>
    </row>
    <row r="472" spans="1:6">
      <c r="A472" t="s">
        <v>475</v>
      </c>
      <c r="B472">
        <f>投資後權重!B472/投資後權重!$F472</f>
        <v>0</v>
      </c>
      <c r="C472">
        <f>投資後權重!C472/投資後權重!$F472</f>
        <v>7.2328603874903141E-2</v>
      </c>
      <c r="D472">
        <f>投資後權重!D472/投資後權重!$F472</f>
        <v>0.88003588449129522</v>
      </c>
      <c r="E472">
        <f>投資後權重!E472/投資後權重!$F472</f>
        <v>4.7635511633801822E-2</v>
      </c>
      <c r="F472">
        <f t="shared" si="7"/>
        <v>1.0000000000000002</v>
      </c>
    </row>
    <row r="473" spans="1:6">
      <c r="A473" t="s">
        <v>476</v>
      </c>
      <c r="B473">
        <f>投資後權重!B473/投資後權重!$F473</f>
        <v>0</v>
      </c>
      <c r="C473">
        <f>投資後權重!C473/投資後權重!$F473</f>
        <v>7.2193341875141065E-2</v>
      </c>
      <c r="D473">
        <f>投資後權重!D473/投資後權重!$F473</f>
        <v>0.88046968547541937</v>
      </c>
      <c r="E473">
        <f>投資後權重!E473/投資後權重!$F473</f>
        <v>4.733697264943966E-2</v>
      </c>
      <c r="F473">
        <f t="shared" si="7"/>
        <v>1</v>
      </c>
    </row>
    <row r="474" spans="1:6">
      <c r="A474" t="s">
        <v>477</v>
      </c>
      <c r="B474">
        <f>投資後權重!B474/投資後權重!$F474</f>
        <v>0</v>
      </c>
      <c r="C474">
        <f>投資後權重!C474/投資後權重!$F474</f>
        <v>7.1852218603880733E-2</v>
      </c>
      <c r="D474">
        <f>投資後權重!D474/投資後權重!$F474</f>
        <v>0.87986462613831184</v>
      </c>
      <c r="E474">
        <f>投資後權重!E474/投資後權重!$F474</f>
        <v>4.8283155257807443E-2</v>
      </c>
      <c r="F474">
        <f t="shared" si="7"/>
        <v>1</v>
      </c>
    </row>
    <row r="475" spans="1:6">
      <c r="A475" t="s">
        <v>478</v>
      </c>
      <c r="B475">
        <f>投資後權重!B475/投資後權重!$F475</f>
        <v>0</v>
      </c>
      <c r="C475">
        <f>投資後權重!C475/投資後權重!$F475</f>
        <v>7.1448301808827053E-2</v>
      </c>
      <c r="D475">
        <f>投資後權重!D475/投資後權重!$F475</f>
        <v>0.87976913583053995</v>
      </c>
      <c r="E475">
        <f>投資後權重!E475/投資後權重!$F475</f>
        <v>4.8782562360633025E-2</v>
      </c>
      <c r="F475">
        <f t="shared" si="7"/>
        <v>1</v>
      </c>
    </row>
    <row r="476" spans="1:6">
      <c r="A476" t="s">
        <v>479</v>
      </c>
      <c r="B476">
        <f>投資後權重!B476/投資後權重!$F476</f>
        <v>0</v>
      </c>
      <c r="C476">
        <f>投資後權重!C476/投資後權重!$F476</f>
        <v>7.1209979980422902E-2</v>
      </c>
      <c r="D476">
        <f>投資後權重!D476/投資後權重!$F476</f>
        <v>0.87983331796272535</v>
      </c>
      <c r="E476">
        <f>投資後權重!E476/投資後權重!$F476</f>
        <v>4.8956702056851875E-2</v>
      </c>
      <c r="F476">
        <f t="shared" si="7"/>
        <v>1</v>
      </c>
    </row>
    <row r="477" spans="1:6">
      <c r="A477" t="s">
        <v>480</v>
      </c>
      <c r="B477">
        <f>投資後權重!B477/投資後權重!$F477</f>
        <v>0</v>
      </c>
      <c r="C477">
        <f>投資後權重!C477/投資後權重!$F477</f>
        <v>7.1057208623432414E-2</v>
      </c>
      <c r="D477">
        <f>投資後權重!D477/投資後權重!$F477</f>
        <v>0.87997803671186492</v>
      </c>
      <c r="E477">
        <f>投資後權重!E477/投資後權重!$F477</f>
        <v>4.896475466470273E-2</v>
      </c>
      <c r="F477">
        <f t="shared" si="7"/>
        <v>1</v>
      </c>
    </row>
    <row r="478" spans="1:6">
      <c r="A478" t="s">
        <v>481</v>
      </c>
      <c r="B478">
        <f>投資後權重!B478/投資後權重!$F478</f>
        <v>0</v>
      </c>
      <c r="C478">
        <f>投資後權重!C478/投資後權重!$F478</f>
        <v>7.2734934408997517E-2</v>
      </c>
      <c r="D478">
        <f>投資後權重!D478/投資後權重!$F478</f>
        <v>0.87838874417778467</v>
      </c>
      <c r="E478">
        <f>投資後權重!E478/投資後權重!$F478</f>
        <v>4.8876321413217877E-2</v>
      </c>
      <c r="F478">
        <f t="shared" si="7"/>
        <v>1</v>
      </c>
    </row>
    <row r="479" spans="1:6">
      <c r="A479" t="s">
        <v>482</v>
      </c>
      <c r="B479">
        <f>投資後權重!B479/投資後權重!$F479</f>
        <v>0</v>
      </c>
      <c r="C479">
        <f>投資後權重!C479/投資後權重!$F479</f>
        <v>7.1949950358511622E-2</v>
      </c>
      <c r="D479">
        <f>投資後權重!D479/投資後權重!$F479</f>
        <v>0.88024082819881011</v>
      </c>
      <c r="E479">
        <f>投資後權重!E479/投資後權重!$F479</f>
        <v>4.7809221442678351E-2</v>
      </c>
      <c r="F479">
        <f t="shared" si="7"/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BC66-FA13-40E8-9878-1779CA38553F}">
  <sheetPr codeName="工作表4"/>
  <dimension ref="A1:G479"/>
  <sheetViews>
    <sheetView topLeftCell="A45" zoomScale="160" zoomScaleNormal="160" workbookViewId="0">
      <selection activeCell="E3" sqref="E3"/>
    </sheetView>
  </sheetViews>
  <sheetFormatPr baseColWidth="10" defaultColWidth="9" defaultRowHeight="14"/>
  <cols>
    <col min="1" max="1" width="11.19921875" bestFit="1" customWidth="1"/>
    <col min="3" max="5" width="16.19921875" bestFit="1" customWidth="1"/>
  </cols>
  <sheetData>
    <row r="1" spans="1:7">
      <c r="A1" s="1" t="s">
        <v>0</v>
      </c>
      <c r="B1" s="3">
        <v>2308</v>
      </c>
      <c r="C1" s="3">
        <v>2317</v>
      </c>
      <c r="D1" s="3">
        <v>2330</v>
      </c>
      <c r="E1" s="3">
        <v>2454</v>
      </c>
      <c r="F1" s="2"/>
      <c r="G1" s="2"/>
    </row>
    <row r="2" spans="1:7">
      <c r="A2" t="s">
        <v>5</v>
      </c>
      <c r="C2" s="7"/>
      <c r="D2" s="7"/>
      <c r="E2" s="7"/>
    </row>
    <row r="3" spans="1:7">
      <c r="A3" t="s">
        <v>6</v>
      </c>
      <c r="B3">
        <f>標準化權重!B3-每日權重!B3</f>
        <v>0</v>
      </c>
      <c r="C3" s="7">
        <f>標準化權重!C3-每日權重!C3</f>
        <v>0</v>
      </c>
      <c r="D3" s="7">
        <f>標準化權重!D3-每日權重!D3</f>
        <v>0</v>
      </c>
      <c r="E3" s="7">
        <f>標準化權重!E3-每日權重!E3</f>
        <v>0</v>
      </c>
    </row>
    <row r="4" spans="1:7">
      <c r="A4" t="s">
        <v>7</v>
      </c>
      <c r="B4">
        <f>標準化權重!B4-每日權重!B4</f>
        <v>0</v>
      </c>
      <c r="C4" s="7">
        <f>標準化權重!C4-每日權重!C4</f>
        <v>0</v>
      </c>
      <c r="D4" s="7">
        <f>標準化權重!D4-每日權重!D4</f>
        <v>0</v>
      </c>
      <c r="E4" s="7">
        <f>標準化權重!E4-每日權重!E4</f>
        <v>0</v>
      </c>
    </row>
    <row r="5" spans="1:7">
      <c r="A5" t="s">
        <v>8</v>
      </c>
      <c r="B5">
        <f>標準化權重!B5-每日權重!B5</f>
        <v>0</v>
      </c>
      <c r="C5" s="7">
        <f>標準化權重!C5-每日權重!C5</f>
        <v>0</v>
      </c>
      <c r="D5" s="7">
        <f>標準化權重!D5-每日權重!D5</f>
        <v>0</v>
      </c>
      <c r="E5" s="7">
        <f>標準化權重!E5-每日權重!E5</f>
        <v>0</v>
      </c>
    </row>
    <row r="6" spans="1:7">
      <c r="A6" t="s">
        <v>9</v>
      </c>
      <c r="B6">
        <f>標準化權重!B6-每日權重!B6</f>
        <v>0</v>
      </c>
      <c r="C6" s="7">
        <f>標準化權重!C6-每日權重!C6</f>
        <v>0</v>
      </c>
      <c r="D6" s="7">
        <f>標準化權重!D6-每日權重!D6</f>
        <v>0</v>
      </c>
      <c r="E6" s="7">
        <f>標準化權重!E6-每日權重!E6</f>
        <v>0</v>
      </c>
    </row>
    <row r="7" spans="1:7">
      <c r="A7" t="s">
        <v>10</v>
      </c>
      <c r="B7">
        <f>標準化權重!B7-每日權重!B7</f>
        <v>0</v>
      </c>
      <c r="C7" s="7">
        <f>標準化權重!C7-每日權重!C7</f>
        <v>0</v>
      </c>
      <c r="D7" s="7">
        <f>標準化權重!D7-每日權重!D7</f>
        <v>0</v>
      </c>
      <c r="E7" s="7">
        <f>標準化權重!E7-每日權重!E7</f>
        <v>0</v>
      </c>
    </row>
    <row r="8" spans="1:7">
      <c r="A8" t="s">
        <v>11</v>
      </c>
      <c r="B8">
        <f>標準化權重!B8-每日權重!B8</f>
        <v>0</v>
      </c>
      <c r="C8" s="7">
        <f>標準化權重!C8-每日權重!C8</f>
        <v>0</v>
      </c>
      <c r="D8" s="7">
        <f>標準化權重!D8-每日權重!D8</f>
        <v>0</v>
      </c>
      <c r="E8" s="7">
        <f>標準化權重!E8-每日權重!E8</f>
        <v>0</v>
      </c>
    </row>
    <row r="9" spans="1:7">
      <c r="A9" t="s">
        <v>12</v>
      </c>
      <c r="B9">
        <f>標準化權重!B9-每日權重!B9</f>
        <v>0</v>
      </c>
      <c r="C9" s="7">
        <f>標準化權重!C9-每日權重!C9</f>
        <v>0</v>
      </c>
      <c r="D9" s="7">
        <f>標準化權重!D9-每日權重!D9</f>
        <v>0</v>
      </c>
      <c r="E9" s="7">
        <f>標準化權重!E9-每日權重!E9</f>
        <v>0</v>
      </c>
    </row>
    <row r="10" spans="1:7">
      <c r="A10" t="s">
        <v>13</v>
      </c>
      <c r="B10">
        <f>標準化權重!B10-每日權重!B10</f>
        <v>0</v>
      </c>
      <c r="C10" s="7">
        <f>標準化權重!C10-每日權重!C10</f>
        <v>0</v>
      </c>
      <c r="D10" s="7">
        <f>標準化權重!D10-每日權重!D10</f>
        <v>0</v>
      </c>
      <c r="E10" s="7">
        <f>標準化權重!E10-每日權重!E10</f>
        <v>0</v>
      </c>
    </row>
    <row r="11" spans="1:7">
      <c r="A11" t="s">
        <v>14</v>
      </c>
      <c r="B11">
        <f>標準化權重!B11-每日權重!B11</f>
        <v>0</v>
      </c>
      <c r="C11" s="7">
        <f>標準化權重!C11-每日權重!C11</f>
        <v>0</v>
      </c>
      <c r="D11" s="7">
        <f>標準化權重!D11-每日權重!D11</f>
        <v>0</v>
      </c>
      <c r="E11" s="7">
        <f>標準化權重!E11-每日權重!E11</f>
        <v>0</v>
      </c>
    </row>
    <row r="12" spans="1:7">
      <c r="A12" t="s">
        <v>15</v>
      </c>
      <c r="B12">
        <f>標準化權重!B12-每日權重!B12</f>
        <v>0</v>
      </c>
      <c r="C12" s="7">
        <f>標準化權重!C12-每日權重!C12</f>
        <v>0</v>
      </c>
      <c r="D12" s="7">
        <f>標準化權重!D12-每日權重!D12</f>
        <v>0</v>
      </c>
      <c r="E12" s="7">
        <f>標準化權重!E12-每日權重!E12</f>
        <v>0</v>
      </c>
    </row>
    <row r="13" spans="1:7">
      <c r="A13" t="s">
        <v>16</v>
      </c>
      <c r="B13">
        <f>標準化權重!B13-每日權重!B13</f>
        <v>0</v>
      </c>
      <c r="C13" s="7">
        <f>標準化權重!C13-每日權重!C13</f>
        <v>0</v>
      </c>
      <c r="D13" s="7">
        <f>標準化權重!D13-每日權重!D13</f>
        <v>0</v>
      </c>
      <c r="E13" s="7">
        <f>標準化權重!E13-每日權重!E13</f>
        <v>0</v>
      </c>
    </row>
    <row r="14" spans="1:7">
      <c r="A14" t="s">
        <v>17</v>
      </c>
      <c r="B14">
        <f>標準化權重!B14-每日權重!B14</f>
        <v>0</v>
      </c>
      <c r="C14" s="7">
        <f>標準化權重!C14-每日權重!C14</f>
        <v>0</v>
      </c>
      <c r="D14" s="7">
        <f>標準化權重!D14-每日權重!D14</f>
        <v>0</v>
      </c>
      <c r="E14" s="7">
        <f>標準化權重!E14-每日權重!E14</f>
        <v>0</v>
      </c>
    </row>
    <row r="15" spans="1:7">
      <c r="A15" t="s">
        <v>18</v>
      </c>
      <c r="B15">
        <f>標準化權重!B15-每日權重!B15</f>
        <v>0</v>
      </c>
      <c r="C15" s="7">
        <f>標準化權重!C15-每日權重!C15</f>
        <v>0</v>
      </c>
      <c r="D15" s="7">
        <f>標準化權重!D15-每日權重!D15</f>
        <v>0</v>
      </c>
      <c r="E15" s="7">
        <f>標準化權重!E15-每日權重!E15</f>
        <v>0</v>
      </c>
    </row>
    <row r="16" spans="1:7">
      <c r="A16" t="s">
        <v>19</v>
      </c>
      <c r="B16">
        <f>標準化權重!B16-每日權重!B16</f>
        <v>0</v>
      </c>
      <c r="C16" s="7">
        <f>標準化權重!C16-每日權重!C16</f>
        <v>0</v>
      </c>
      <c r="D16" s="7">
        <f>標準化權重!D16-每日權重!D16</f>
        <v>0</v>
      </c>
      <c r="E16" s="7">
        <f>標準化權重!E16-每日權重!E16</f>
        <v>0</v>
      </c>
    </row>
    <row r="17" spans="1:5">
      <c r="A17" t="s">
        <v>20</v>
      </c>
      <c r="B17">
        <f>標準化權重!B17-每日權重!B17</f>
        <v>0</v>
      </c>
      <c r="C17" s="7">
        <f>標準化權重!C17-每日權重!C17</f>
        <v>0</v>
      </c>
      <c r="D17" s="7">
        <f>標準化權重!D17-每日權重!D17</f>
        <v>0</v>
      </c>
      <c r="E17" s="7">
        <f>標準化權重!E17-每日權重!E17</f>
        <v>0</v>
      </c>
    </row>
    <row r="18" spans="1:5">
      <c r="A18" t="s">
        <v>21</v>
      </c>
      <c r="B18">
        <f>標準化權重!B18-每日權重!B18</f>
        <v>0</v>
      </c>
      <c r="C18" s="7">
        <f>標準化權重!C18-每日權重!C18</f>
        <v>0</v>
      </c>
      <c r="D18" s="7">
        <f>標準化權重!D18-每日權重!D18</f>
        <v>0</v>
      </c>
      <c r="E18" s="7">
        <f>標準化權重!E18-每日權重!E18</f>
        <v>0</v>
      </c>
    </row>
    <row r="19" spans="1:5">
      <c r="A19" t="s">
        <v>22</v>
      </c>
      <c r="B19">
        <f>標準化權重!B19-每日權重!B19</f>
        <v>0</v>
      </c>
      <c r="C19" s="7">
        <f>標準化權重!C19-每日權重!C19</f>
        <v>0</v>
      </c>
      <c r="D19" s="7">
        <f>標準化權重!D19-每日權重!D19</f>
        <v>0</v>
      </c>
      <c r="E19" s="7">
        <f>標準化權重!E19-每日權重!E19</f>
        <v>0</v>
      </c>
    </row>
    <row r="20" spans="1:5">
      <c r="A20" t="s">
        <v>23</v>
      </c>
      <c r="B20">
        <f>標準化權重!B20-每日權重!B20</f>
        <v>0</v>
      </c>
      <c r="C20" s="7">
        <f>標準化權重!C20-每日權重!C20</f>
        <v>0</v>
      </c>
      <c r="D20" s="7">
        <f>標準化權重!D20-每日權重!D20</f>
        <v>0</v>
      </c>
      <c r="E20" s="7">
        <f>標準化權重!E20-每日權重!E20</f>
        <v>0</v>
      </c>
    </row>
    <row r="21" spans="1:5">
      <c r="A21" t="s">
        <v>24</v>
      </c>
      <c r="B21">
        <f>標準化權重!B21-每日權重!B21</f>
        <v>0</v>
      </c>
      <c r="C21" s="7">
        <f>標準化權重!C21-每日權重!C21</f>
        <v>0</v>
      </c>
      <c r="D21" s="7">
        <f>標準化權重!D21-每日權重!D21</f>
        <v>0</v>
      </c>
      <c r="E21" s="7">
        <f>標準化權重!E21-每日權重!E21</f>
        <v>0</v>
      </c>
    </row>
    <row r="22" spans="1:5">
      <c r="A22" t="s">
        <v>25</v>
      </c>
      <c r="B22">
        <f>標準化權重!B22-每日權重!B22</f>
        <v>0</v>
      </c>
      <c r="C22" s="7">
        <f>標準化權重!C22-每日權重!C22</f>
        <v>0</v>
      </c>
      <c r="D22" s="7">
        <f>標準化權重!D22-每日權重!D22</f>
        <v>0</v>
      </c>
      <c r="E22" s="7">
        <f>標準化權重!E22-每日權重!E22</f>
        <v>0</v>
      </c>
    </row>
    <row r="23" spans="1:5">
      <c r="A23" t="s">
        <v>26</v>
      </c>
      <c r="B23">
        <f>標準化權重!B23-每日權重!B23</f>
        <v>0</v>
      </c>
      <c r="C23" s="7">
        <f>標準化權重!C23-每日權重!C23</f>
        <v>0</v>
      </c>
      <c r="D23" s="7">
        <f>標準化權重!D23-每日權重!D23</f>
        <v>0</v>
      </c>
      <c r="E23" s="7">
        <f>標準化權重!E23-每日權重!E23</f>
        <v>0</v>
      </c>
    </row>
    <row r="24" spans="1:5">
      <c r="A24" t="s">
        <v>27</v>
      </c>
      <c r="B24">
        <f>標準化權重!B24-每日權重!B24</f>
        <v>0</v>
      </c>
      <c r="C24" s="7">
        <f>標準化權重!C24-每日權重!C24</f>
        <v>0</v>
      </c>
      <c r="D24" s="7">
        <f>標準化權重!D24-每日權重!D24</f>
        <v>0</v>
      </c>
      <c r="E24" s="7">
        <f>標準化權重!E24-每日權重!E24</f>
        <v>0</v>
      </c>
    </row>
    <row r="25" spans="1:5">
      <c r="A25" t="s">
        <v>28</v>
      </c>
      <c r="B25">
        <f>標準化權重!B25-每日權重!B25</f>
        <v>0</v>
      </c>
      <c r="C25" s="7">
        <f>標準化權重!C25-每日權重!C25</f>
        <v>0</v>
      </c>
      <c r="D25" s="7">
        <f>標準化權重!D25-每日權重!D25</f>
        <v>0</v>
      </c>
      <c r="E25" s="7">
        <f>標準化權重!E25-每日權重!E25</f>
        <v>0</v>
      </c>
    </row>
    <row r="26" spans="1:5">
      <c r="A26" t="s">
        <v>29</v>
      </c>
      <c r="B26">
        <f>標準化權重!B26-每日權重!B26</f>
        <v>0</v>
      </c>
      <c r="C26" s="7">
        <f>標準化權重!C26-每日權重!C26</f>
        <v>0</v>
      </c>
      <c r="D26" s="7">
        <f>標準化權重!D26-每日權重!D26</f>
        <v>0</v>
      </c>
      <c r="E26" s="7">
        <f>標準化權重!E26-每日權重!E26</f>
        <v>0</v>
      </c>
    </row>
    <row r="27" spans="1:5">
      <c r="A27" t="s">
        <v>30</v>
      </c>
      <c r="B27">
        <f>標準化權重!B27-每日權重!B27</f>
        <v>0</v>
      </c>
      <c r="C27" s="7">
        <f>標準化權重!C27-每日權重!C27</f>
        <v>0</v>
      </c>
      <c r="D27" s="7">
        <f>標準化權重!D27-每日權重!D27</f>
        <v>0</v>
      </c>
      <c r="E27" s="7">
        <f>標準化權重!E27-每日權重!E27</f>
        <v>0</v>
      </c>
    </row>
    <row r="28" spans="1:5">
      <c r="A28" t="s">
        <v>31</v>
      </c>
      <c r="B28">
        <f>標準化權重!B28-每日權重!B28</f>
        <v>0</v>
      </c>
      <c r="C28" s="7">
        <f>標準化權重!C28-每日權重!C28</f>
        <v>0</v>
      </c>
      <c r="D28" s="7">
        <f>標準化權重!D28-每日權重!D28</f>
        <v>0</v>
      </c>
      <c r="E28" s="7">
        <f>標準化權重!E28-每日權重!E28</f>
        <v>0</v>
      </c>
    </row>
    <row r="29" spans="1:5">
      <c r="A29" t="s">
        <v>32</v>
      </c>
      <c r="B29">
        <f>標準化權重!B29-每日權重!B29</f>
        <v>0</v>
      </c>
      <c r="C29" s="7">
        <f>標準化權重!C29-每日權重!C29</f>
        <v>0</v>
      </c>
      <c r="D29" s="7">
        <f>標準化權重!D29-每日權重!D29</f>
        <v>0</v>
      </c>
      <c r="E29" s="7">
        <f>標準化權重!E29-每日權重!E29</f>
        <v>0</v>
      </c>
    </row>
    <row r="30" spans="1:5">
      <c r="A30" t="s">
        <v>33</v>
      </c>
      <c r="B30">
        <f>標準化權重!B30-每日權重!B30</f>
        <v>0</v>
      </c>
      <c r="C30" s="7">
        <f>標準化權重!C30-每日權重!C30</f>
        <v>0</v>
      </c>
      <c r="D30" s="7">
        <f>標準化權重!D30-每日權重!D30</f>
        <v>0</v>
      </c>
      <c r="E30" s="7">
        <f>標準化權重!E30-每日權重!E30</f>
        <v>0</v>
      </c>
    </row>
    <row r="31" spans="1:5">
      <c r="A31" t="s">
        <v>34</v>
      </c>
      <c r="B31">
        <f>標準化權重!B31-每日權重!B31</f>
        <v>0</v>
      </c>
      <c r="C31" s="7">
        <f>標準化權重!C31-每日權重!C31</f>
        <v>0</v>
      </c>
      <c r="D31" s="7">
        <f>標準化權重!D31-每日權重!D31</f>
        <v>0</v>
      </c>
      <c r="E31" s="7">
        <f>標準化權重!E31-每日權重!E31</f>
        <v>0</v>
      </c>
    </row>
    <row r="32" spans="1:5">
      <c r="A32" t="s">
        <v>35</v>
      </c>
      <c r="B32">
        <f>標準化權重!B32-每日權重!B32</f>
        <v>0</v>
      </c>
      <c r="C32" s="7">
        <f>標準化權重!C32-每日權重!C32</f>
        <v>0</v>
      </c>
      <c r="D32" s="7">
        <f>標準化權重!D32-每日權重!D32</f>
        <v>0</v>
      </c>
      <c r="E32" s="7">
        <f>標準化權重!E32-每日權重!E32</f>
        <v>0</v>
      </c>
    </row>
    <row r="33" spans="1:5">
      <c r="A33" t="s">
        <v>36</v>
      </c>
      <c r="B33">
        <f>標準化權重!B33-每日權重!B33</f>
        <v>0</v>
      </c>
      <c r="C33" s="7">
        <f>標準化權重!C33-每日權重!C33</f>
        <v>0</v>
      </c>
      <c r="D33" s="7">
        <f>標準化權重!D33-每日權重!D33</f>
        <v>0</v>
      </c>
      <c r="E33" s="7">
        <f>標準化權重!E33-每日權重!E33</f>
        <v>0</v>
      </c>
    </row>
    <row r="34" spans="1:5">
      <c r="A34" t="s">
        <v>37</v>
      </c>
      <c r="B34">
        <f>標準化權重!B34-每日權重!B34</f>
        <v>0</v>
      </c>
      <c r="C34" s="7">
        <f>標準化權重!C34-每日權重!C34</f>
        <v>0</v>
      </c>
      <c r="D34" s="7">
        <f>標準化權重!D34-每日權重!D34</f>
        <v>0</v>
      </c>
      <c r="E34" s="7">
        <f>標準化權重!E34-每日權重!E34</f>
        <v>0</v>
      </c>
    </row>
    <row r="35" spans="1:5">
      <c r="A35" t="s">
        <v>38</v>
      </c>
      <c r="B35">
        <f>標準化權重!B35-每日權重!B35</f>
        <v>0</v>
      </c>
      <c r="C35" s="7">
        <f>標準化權重!C35-每日權重!C35</f>
        <v>0</v>
      </c>
      <c r="D35" s="7">
        <f>標準化權重!D35-每日權重!D35</f>
        <v>0</v>
      </c>
      <c r="E35" s="7">
        <f>標準化權重!E35-每日權重!E35</f>
        <v>0</v>
      </c>
    </row>
    <row r="36" spans="1:5">
      <c r="A36" t="s">
        <v>39</v>
      </c>
      <c r="B36">
        <f>標準化權重!B36-每日權重!B36</f>
        <v>0</v>
      </c>
      <c r="C36" s="7">
        <f>標準化權重!C36-每日權重!C36</f>
        <v>0</v>
      </c>
      <c r="D36" s="7">
        <f>標準化權重!D36-每日權重!D36</f>
        <v>0</v>
      </c>
      <c r="E36" s="7">
        <f>標準化權重!E36-每日權重!E36</f>
        <v>0</v>
      </c>
    </row>
    <row r="37" spans="1:5">
      <c r="A37" t="s">
        <v>40</v>
      </c>
      <c r="B37">
        <f>標準化權重!B37-每日權重!B37</f>
        <v>0</v>
      </c>
      <c r="C37" s="7">
        <f>標準化權重!C37-每日權重!C37</f>
        <v>0</v>
      </c>
      <c r="D37" s="7">
        <f>標準化權重!D37-每日權重!D37</f>
        <v>0</v>
      </c>
      <c r="E37" s="7">
        <f>標準化權重!E37-每日權重!E37</f>
        <v>0</v>
      </c>
    </row>
    <row r="38" spans="1:5">
      <c r="A38" t="s">
        <v>41</v>
      </c>
      <c r="B38">
        <f>標準化權重!B38-每日權重!B38</f>
        <v>0</v>
      </c>
      <c r="C38" s="7">
        <f>標準化權重!C38-每日權重!C38</f>
        <v>0</v>
      </c>
      <c r="D38" s="7">
        <f>標準化權重!D38-每日權重!D38</f>
        <v>0</v>
      </c>
      <c r="E38" s="7">
        <f>標準化權重!E38-每日權重!E38</f>
        <v>0</v>
      </c>
    </row>
    <row r="39" spans="1:5">
      <c r="A39" t="s">
        <v>42</v>
      </c>
      <c r="B39">
        <f>標準化權重!B39-每日權重!B39</f>
        <v>0</v>
      </c>
      <c r="C39" s="7">
        <f>標準化權重!C39-每日權重!C39</f>
        <v>0</v>
      </c>
      <c r="D39" s="7">
        <f>標準化權重!D39-每日權重!D39</f>
        <v>0</v>
      </c>
      <c r="E39" s="7">
        <f>標準化權重!E39-每日權重!E39</f>
        <v>0</v>
      </c>
    </row>
    <row r="40" spans="1:5">
      <c r="A40" t="s">
        <v>43</v>
      </c>
      <c r="B40">
        <f>標準化權重!B40-每日權重!B40</f>
        <v>0</v>
      </c>
      <c r="C40" s="7">
        <f>標準化權重!C40-每日權重!C40</f>
        <v>0</v>
      </c>
      <c r="D40" s="7">
        <f>標準化權重!D40-每日權重!D40</f>
        <v>0</v>
      </c>
      <c r="E40" s="7">
        <f>標準化權重!E40-每日權重!E40</f>
        <v>0</v>
      </c>
    </row>
    <row r="41" spans="1:5">
      <c r="A41" t="s">
        <v>44</v>
      </c>
      <c r="B41">
        <f>標準化權重!B41-每日權重!B41</f>
        <v>0</v>
      </c>
      <c r="C41" s="7">
        <f>標準化權重!C41-每日權重!C41</f>
        <v>0</v>
      </c>
      <c r="D41" s="7">
        <f>標準化權重!D41-每日權重!D41</f>
        <v>0</v>
      </c>
      <c r="E41" s="7">
        <f>標準化權重!E41-每日權重!E41</f>
        <v>0</v>
      </c>
    </row>
    <row r="42" spans="1:5">
      <c r="A42" t="s">
        <v>45</v>
      </c>
      <c r="B42">
        <f>標準化權重!B42-每日權重!B42</f>
        <v>0</v>
      </c>
      <c r="C42" s="7">
        <f>標準化權重!C42-每日權重!C42</f>
        <v>0</v>
      </c>
      <c r="D42" s="7">
        <f>標準化權重!D42-每日權重!D42</f>
        <v>0</v>
      </c>
      <c r="E42" s="7">
        <f>標準化權重!E42-每日權重!E42</f>
        <v>0</v>
      </c>
    </row>
    <row r="43" spans="1:5">
      <c r="A43" t="s">
        <v>46</v>
      </c>
      <c r="B43">
        <f>標準化權重!B43-每日權重!B43</f>
        <v>0</v>
      </c>
      <c r="C43" s="7">
        <f>標準化權重!C43-每日權重!C43</f>
        <v>0</v>
      </c>
      <c r="D43" s="7">
        <f>標準化權重!D43-每日權重!D43</f>
        <v>0</v>
      </c>
      <c r="E43" s="7">
        <f>標準化權重!E43-每日權重!E43</f>
        <v>0</v>
      </c>
    </row>
    <row r="44" spans="1:5">
      <c r="A44" t="s">
        <v>47</v>
      </c>
      <c r="B44">
        <f>標準化權重!B44-每日權重!B44</f>
        <v>0</v>
      </c>
      <c r="C44" s="7">
        <f>標準化權重!C44-每日權重!C44</f>
        <v>0</v>
      </c>
      <c r="D44" s="7">
        <f>標準化權重!D44-每日權重!D44</f>
        <v>0</v>
      </c>
      <c r="E44" s="7">
        <f>標準化權重!E44-每日權重!E44</f>
        <v>0</v>
      </c>
    </row>
    <row r="45" spans="1:5">
      <c r="A45" t="s">
        <v>48</v>
      </c>
      <c r="B45">
        <f>標準化權重!B45-每日權重!B45</f>
        <v>0</v>
      </c>
      <c r="C45" s="7">
        <f>標準化權重!C45-每日權重!C45</f>
        <v>0</v>
      </c>
      <c r="D45" s="7">
        <f>標準化權重!D45-每日權重!D45</f>
        <v>0</v>
      </c>
      <c r="E45" s="7">
        <f>標準化權重!E45-每日權重!E45</f>
        <v>0</v>
      </c>
    </row>
    <row r="46" spans="1:5">
      <c r="A46" t="s">
        <v>49</v>
      </c>
      <c r="B46">
        <f>標準化權重!B46-每日權重!B46</f>
        <v>0</v>
      </c>
      <c r="C46" s="7">
        <f>標準化權重!C46-每日權重!C46</f>
        <v>0</v>
      </c>
      <c r="D46" s="7">
        <f>標準化權重!D46-每日權重!D46</f>
        <v>0</v>
      </c>
      <c r="E46" s="7">
        <f>標準化權重!E46-每日權重!E46</f>
        <v>0</v>
      </c>
    </row>
    <row r="47" spans="1:5">
      <c r="A47" t="s">
        <v>50</v>
      </c>
      <c r="B47">
        <f>標準化權重!B47-每日權重!B47</f>
        <v>0</v>
      </c>
      <c r="C47" s="7">
        <f>標準化權重!C47-每日權重!C47</f>
        <v>-3.1052536748570059E-4</v>
      </c>
      <c r="D47" s="7">
        <f>標準化權重!D47-每日權重!D47</f>
        <v>6.1061939394080333E-4</v>
      </c>
      <c r="E47" s="7">
        <f>標準化權重!E47-每日權重!E47</f>
        <v>-3.0009402645504724E-4</v>
      </c>
    </row>
    <row r="48" spans="1:5">
      <c r="A48" t="s">
        <v>51</v>
      </c>
      <c r="B48">
        <f>標準化權重!B48-每日權重!B48</f>
        <v>0</v>
      </c>
      <c r="C48" s="7">
        <f>標準化權重!C48-每日權重!C48</f>
        <v>-3.1191141215204665E-4</v>
      </c>
      <c r="D48" s="7">
        <f>標準化權重!D48-每日權重!D48</f>
        <v>6.0819221291108505E-4</v>
      </c>
      <c r="E48" s="7">
        <f>標準化權重!E48-每日權重!E48</f>
        <v>-2.9628080075888574E-4</v>
      </c>
    </row>
    <row r="49" spans="1:5">
      <c r="A49" t="s">
        <v>52</v>
      </c>
      <c r="B49">
        <f>標準化權重!B49-每日權重!B49</f>
        <v>0</v>
      </c>
      <c r="C49" s="7">
        <f>標準化權重!C49-每日權重!C49</f>
        <v>-3.1773473694701737E-4</v>
      </c>
      <c r="D49" s="7">
        <f>標準化權重!D49-每日權重!D49</f>
        <v>6.100001121787102E-4</v>
      </c>
      <c r="E49" s="7">
        <f>標準化權重!E49-每日權重!E49</f>
        <v>-2.922653752314569E-4</v>
      </c>
    </row>
    <row r="50" spans="1:5">
      <c r="A50" t="s">
        <v>53</v>
      </c>
      <c r="B50">
        <f>標準化權重!B50-每日權重!B50</f>
        <v>0</v>
      </c>
      <c r="C50" s="7">
        <f>標準化權重!C50-每日權重!C50</f>
        <v>-3.1848386351975011E-4</v>
      </c>
      <c r="D50" s="7">
        <f>標準化權重!D50-每日權重!D50</f>
        <v>6.0469777101568312E-4</v>
      </c>
      <c r="E50" s="7">
        <f>標準化權重!E50-每日權重!E50</f>
        <v>-2.8621390749593301E-4</v>
      </c>
    </row>
    <row r="51" spans="1:5">
      <c r="A51" t="s">
        <v>54</v>
      </c>
      <c r="B51">
        <f>標準化權重!B51-每日權重!B51</f>
        <v>0</v>
      </c>
      <c r="C51" s="7">
        <f>標準化權重!C51-每日權重!C51</f>
        <v>-3.2441193544022195E-4</v>
      </c>
      <c r="D51" s="7">
        <f>標準化權重!D51-每日權重!D51</f>
        <v>6.0618512362342614E-4</v>
      </c>
      <c r="E51" s="7">
        <f>標準化權重!E51-每日權重!E51</f>
        <v>-2.8177318818327357E-4</v>
      </c>
    </row>
    <row r="52" spans="1:5">
      <c r="A52" t="s">
        <v>55</v>
      </c>
      <c r="B52">
        <f>標準化權重!B52-每日權重!B52</f>
        <v>0</v>
      </c>
      <c r="C52" s="7">
        <f>標準化權重!C52-每日權重!C52</f>
        <v>-3.2604926924714728E-4</v>
      </c>
      <c r="D52" s="7">
        <f>標準化權重!D52-每日權重!D52</f>
        <v>6.0798594409172679E-4</v>
      </c>
      <c r="E52" s="7">
        <f>標準化權重!E52-每日權重!E52</f>
        <v>-2.8193667484463503E-4</v>
      </c>
    </row>
    <row r="53" spans="1:5">
      <c r="A53" t="s">
        <v>56</v>
      </c>
      <c r="B53">
        <f>標準化權重!B53-每日權重!B53</f>
        <v>0</v>
      </c>
      <c r="C53" s="7">
        <f>標準化權重!C53-每日權重!C53</f>
        <v>-3.1852170868355845E-4</v>
      </c>
      <c r="D53" s="7">
        <f>標準化權重!D53-每日權重!D53</f>
        <v>6.0325775392577885E-4</v>
      </c>
      <c r="E53" s="7">
        <f>標準化權重!E53-每日權重!E53</f>
        <v>-2.8473604524199836E-4</v>
      </c>
    </row>
    <row r="54" spans="1:5">
      <c r="A54" t="s">
        <v>57</v>
      </c>
      <c r="B54">
        <f>標準化權重!B54-每日權重!B54</f>
        <v>0</v>
      </c>
      <c r="C54" s="7">
        <f>標準化權重!C54-每日權重!C54</f>
        <v>-3.2997616118880801E-4</v>
      </c>
      <c r="D54" s="7">
        <f>標準化權重!D54-每日權重!D54</f>
        <v>6.2077679608596448E-4</v>
      </c>
      <c r="E54" s="7">
        <f>標準化權重!E54-每日權重!E54</f>
        <v>-2.908006348970732E-4</v>
      </c>
    </row>
    <row r="55" spans="1:5">
      <c r="A55" t="s">
        <v>58</v>
      </c>
      <c r="B55">
        <f>標準化權重!B55-每日權重!B55</f>
        <v>0</v>
      </c>
      <c r="C55" s="7">
        <f>標準化權重!C55-每日權重!C55</f>
        <v>-3.4595803303615058E-4</v>
      </c>
      <c r="D55" s="7">
        <f>標準化權重!D55-每日權重!D55</f>
        <v>6.3586878869936747E-4</v>
      </c>
      <c r="E55" s="7">
        <f>標準化權重!E55-每日權重!E55</f>
        <v>-2.8991075566336955E-4</v>
      </c>
    </row>
    <row r="56" spans="1:5">
      <c r="A56" t="s">
        <v>59</v>
      </c>
      <c r="B56">
        <f>標準化權重!B56-每日權重!B56</f>
        <v>0</v>
      </c>
      <c r="C56" s="7">
        <f>標準化權重!C56-每日權重!C56</f>
        <v>-3.3144404578169806E-4</v>
      </c>
      <c r="D56" s="7">
        <f>標準化權重!D56-每日權重!D56</f>
        <v>6.2806387506986194E-4</v>
      </c>
      <c r="E56" s="7">
        <f>標準化權重!E56-每日權重!E56</f>
        <v>-2.9661982928846919E-4</v>
      </c>
    </row>
    <row r="57" spans="1:5">
      <c r="A57" t="s">
        <v>60</v>
      </c>
      <c r="B57">
        <f>標準化權重!B57-每日權重!B57</f>
        <v>0</v>
      </c>
      <c r="C57" s="7">
        <f>標準化權重!C57-每日權重!C57</f>
        <v>-3.3649369185828615E-4</v>
      </c>
      <c r="D57" s="7">
        <f>標準化權重!D57-每日權重!D57</f>
        <v>6.2784148257255534E-4</v>
      </c>
      <c r="E57" s="7">
        <f>標準化權重!E57-每日權重!E57</f>
        <v>-2.9134779071426919E-4</v>
      </c>
    </row>
    <row r="58" spans="1:5">
      <c r="A58" t="s">
        <v>61</v>
      </c>
      <c r="B58">
        <f>標準化權重!B58-每日權重!B58</f>
        <v>0</v>
      </c>
      <c r="C58" s="7">
        <f>標準化權重!C58-每日權重!C58</f>
        <v>-3.458042583937837E-4</v>
      </c>
      <c r="D58" s="7">
        <f>標準化權重!D58-每日權重!D58</f>
        <v>6.3042886997521919E-4</v>
      </c>
      <c r="E58" s="7">
        <f>標準化權重!E58-每日權重!E58</f>
        <v>-2.8462461158157426E-4</v>
      </c>
    </row>
    <row r="59" spans="1:5">
      <c r="A59" t="s">
        <v>62</v>
      </c>
      <c r="B59">
        <f>標準化權重!B59-每日權重!B59</f>
        <v>0</v>
      </c>
      <c r="C59" s="7">
        <f>標準化權重!C59-每日權重!C59</f>
        <v>-3.4899134409878407E-4</v>
      </c>
      <c r="D59" s="7">
        <f>標準化權重!D59-每日權重!D59</f>
        <v>6.3500635923363635E-4</v>
      </c>
      <c r="E59" s="7">
        <f>標準化權重!E59-每日權重!E59</f>
        <v>-2.8601501513499106E-4</v>
      </c>
    </row>
    <row r="60" spans="1:5">
      <c r="A60" t="s">
        <v>63</v>
      </c>
      <c r="B60">
        <f>標準化權重!B60-每日權重!B60</f>
        <v>0</v>
      </c>
      <c r="C60" s="7">
        <f>標準化權重!C60-每日權重!C60</f>
        <v>-3.4674764927762614E-4</v>
      </c>
      <c r="D60" s="7">
        <f>標準化權重!D60-每日權重!D60</f>
        <v>6.3025713341358092E-4</v>
      </c>
      <c r="E60" s="7">
        <f>標準化權重!E60-每日權重!E60</f>
        <v>-2.8350948413577437E-4</v>
      </c>
    </row>
    <row r="61" spans="1:5">
      <c r="A61" t="s">
        <v>64</v>
      </c>
      <c r="B61">
        <f>標準化權重!B61-每日權重!B61</f>
        <v>0</v>
      </c>
      <c r="C61" s="7">
        <f>標準化權重!C61-每日權重!C61</f>
        <v>-3.3592921667668918E-4</v>
      </c>
      <c r="D61" s="7">
        <f>標準化權重!D61-每日權重!D61</f>
        <v>6.1298166498546802E-4</v>
      </c>
      <c r="E61" s="7">
        <f>標準化權重!E61-每日權重!E61</f>
        <v>-2.7705244830876496E-4</v>
      </c>
    </row>
    <row r="62" spans="1:5">
      <c r="A62" t="s">
        <v>65</v>
      </c>
      <c r="B62">
        <f>標準化權重!B62-每日權重!B62</f>
        <v>0</v>
      </c>
      <c r="C62" s="7">
        <f>標準化權重!C62-每日權重!C62</f>
        <v>-3.2942914470576734E-4</v>
      </c>
      <c r="D62" s="7">
        <f>標準化權重!D62-每日權重!D62</f>
        <v>6.1565888272896441E-4</v>
      </c>
      <c r="E62" s="7">
        <f>標準化權重!E62-每日權重!E62</f>
        <v>-2.8622973802325258E-4</v>
      </c>
    </row>
    <row r="63" spans="1:5">
      <c r="A63" t="s">
        <v>66</v>
      </c>
      <c r="B63">
        <f>標準化權重!B63-每日權重!B63</f>
        <v>0</v>
      </c>
      <c r="C63" s="7">
        <f>標準化權重!C63-每日權重!C63</f>
        <v>-3.1988690240682127E-4</v>
      </c>
      <c r="D63" s="7">
        <f>標準化權重!D63-每日權重!D63</f>
        <v>6.0736168773112276E-4</v>
      </c>
      <c r="E63" s="7">
        <f>標準化權重!E63-每日權重!E63</f>
        <v>-2.8747478532438475E-4</v>
      </c>
    </row>
    <row r="64" spans="1:5">
      <c r="A64" t="s">
        <v>67</v>
      </c>
      <c r="B64">
        <f>標準化權重!B64-每日權重!B64</f>
        <v>0</v>
      </c>
      <c r="C64" s="7">
        <f>標準化權重!C64-每日權重!C64</f>
        <v>-3.2211210733230911E-4</v>
      </c>
      <c r="D64" s="7">
        <f>標準化權重!D64-每日權重!D64</f>
        <v>6.0581637533940746E-4</v>
      </c>
      <c r="E64" s="7">
        <f>標準化權重!E64-每日權重!E64</f>
        <v>-2.8370426800695958E-4</v>
      </c>
    </row>
    <row r="65" spans="1:5">
      <c r="A65" t="s">
        <v>68</v>
      </c>
      <c r="B65">
        <f>標準化權重!B65-每日權重!B65</f>
        <v>0</v>
      </c>
      <c r="C65" s="7">
        <f>標準化權重!C65-每日權重!C65</f>
        <v>-3.2007413188117617E-4</v>
      </c>
      <c r="D65" s="7">
        <f>標準化權重!D65-每日權重!D65</f>
        <v>5.934335315919137E-4</v>
      </c>
      <c r="E65" s="7">
        <f>標準化權重!E65-每日權重!E65</f>
        <v>-2.7335939971082079E-4</v>
      </c>
    </row>
    <row r="66" spans="1:5">
      <c r="A66" t="s">
        <v>69</v>
      </c>
      <c r="B66">
        <f>標準化權重!B66-每日權重!B66</f>
        <v>0</v>
      </c>
      <c r="C66" s="7">
        <f>標準化權重!C66-每日權重!C66</f>
        <v>-3.1805251775968157E-4</v>
      </c>
      <c r="D66" s="7">
        <f>標準化權重!D66-每日權重!D66</f>
        <v>5.8538116312689681E-4</v>
      </c>
      <c r="E66" s="7">
        <f>標準化權重!E66-每日權重!E66</f>
        <v>-2.6732864536727075E-4</v>
      </c>
    </row>
    <row r="67" spans="1:5">
      <c r="A67" t="s">
        <v>70</v>
      </c>
      <c r="B67">
        <f>標準化權重!B67-每日權重!B67</f>
        <v>0</v>
      </c>
      <c r="C67" s="7">
        <f>標準化權重!C67-每日權重!C67</f>
        <v>-3.2400400879759039E-4</v>
      </c>
      <c r="D67" s="7">
        <f>標準化權重!D67-每日權重!D67</f>
        <v>5.848687425230592E-4</v>
      </c>
      <c r="E67" s="7">
        <f>標準化權重!E67-每日權重!E67</f>
        <v>-2.608647337254133E-4</v>
      </c>
    </row>
    <row r="68" spans="1:5">
      <c r="A68" t="s">
        <v>71</v>
      </c>
      <c r="B68">
        <f>標準化權重!B68-每日權重!B68</f>
        <v>0</v>
      </c>
      <c r="C68" s="7">
        <f>標準化權重!C68-每日權重!C68</f>
        <v>-3.2676579930095151E-4</v>
      </c>
      <c r="D68" s="7">
        <f>標準化權重!D68-每日權重!D68</f>
        <v>5.8718769241605795E-4</v>
      </c>
      <c r="E68" s="7">
        <f>標準化權重!E68-每日權重!E68</f>
        <v>-2.6042189311503705E-4</v>
      </c>
    </row>
    <row r="69" spans="1:5">
      <c r="A69" t="s">
        <v>72</v>
      </c>
      <c r="B69">
        <f>標準化權重!B69-每日權重!B69</f>
        <v>0</v>
      </c>
      <c r="C69" s="7">
        <f>標準化權重!C69-每日權重!C69</f>
        <v>-3.3582077303399849E-4</v>
      </c>
      <c r="D69" s="7">
        <f>標準化權重!D69-每日權重!D69</f>
        <v>5.9778022963563604E-4</v>
      </c>
      <c r="E69" s="7">
        <f>標準化權重!E69-每日權重!E69</f>
        <v>-2.6195945660165143E-4</v>
      </c>
    </row>
    <row r="70" spans="1:5">
      <c r="A70" t="s">
        <v>73</v>
      </c>
      <c r="B70">
        <f>標準化權重!B70-每日權重!B70</f>
        <v>0</v>
      </c>
      <c r="C70" s="7">
        <f>標準化權重!C70-每日權重!C70</f>
        <v>-3.3957336688290873E-4</v>
      </c>
      <c r="D70" s="7">
        <f>標準化權重!D70-每日權重!D70</f>
        <v>5.972577045698646E-4</v>
      </c>
      <c r="E70" s="7">
        <f>標準化權重!E70-每日權重!E70</f>
        <v>-2.5768433768698362E-4</v>
      </c>
    </row>
    <row r="71" spans="1:5">
      <c r="A71" t="s">
        <v>74</v>
      </c>
      <c r="B71">
        <f>標準化權重!B71-每日權重!B71</f>
        <v>0</v>
      </c>
      <c r="C71" s="7">
        <f>標準化權重!C71-每日權重!C71</f>
        <v>-3.3747677980215662E-4</v>
      </c>
      <c r="D71" s="7">
        <f>標準化權重!D71-每日權重!D71</f>
        <v>5.933712977732597E-4</v>
      </c>
      <c r="E71" s="7">
        <f>標準化權重!E71-每日權重!E71</f>
        <v>-2.5589451797089491E-4</v>
      </c>
    </row>
    <row r="72" spans="1:5">
      <c r="A72" t="s">
        <v>75</v>
      </c>
      <c r="B72">
        <f>標準化權重!B72-每日權重!B72</f>
        <v>0</v>
      </c>
      <c r="C72" s="7">
        <f>標準化權重!C72-每日權重!C72</f>
        <v>-3.4940730436458511E-4</v>
      </c>
      <c r="D72" s="7">
        <f>標準化權重!D72-每日權重!D72</f>
        <v>6.0352918924777565E-4</v>
      </c>
      <c r="E72" s="7">
        <f>標準化權重!E72-每日權重!E72</f>
        <v>-2.5412188488312115E-4</v>
      </c>
    </row>
    <row r="73" spans="1:5">
      <c r="A73" t="s">
        <v>76</v>
      </c>
      <c r="B73">
        <f>標準化權重!B73-每日權重!B73</f>
        <v>0</v>
      </c>
      <c r="C73" s="7">
        <f>標準化權重!C73-每日權重!C73</f>
        <v>-3.4764183205640564E-4</v>
      </c>
      <c r="D73" s="7">
        <f>標準化權重!D73-每日權重!D73</f>
        <v>6.0051439911057436E-4</v>
      </c>
      <c r="E73" s="7">
        <f>標準化權重!E73-每日權重!E73</f>
        <v>-2.5287256705404382E-4</v>
      </c>
    </row>
    <row r="74" spans="1:5">
      <c r="A74" t="s">
        <v>77</v>
      </c>
      <c r="B74">
        <f>標準化權重!B74-每日權重!B74</f>
        <v>0</v>
      </c>
      <c r="C74" s="7">
        <f>標準化權重!C74-每日權重!C74</f>
        <v>-3.4810166871666881E-4</v>
      </c>
      <c r="D74" s="7">
        <f>標準化權重!D74-每日權重!D74</f>
        <v>6.0164592792077976E-4</v>
      </c>
      <c r="E74" s="7">
        <f>標準化權重!E74-每日權重!E74</f>
        <v>-2.5354425920418033E-4</v>
      </c>
    </row>
    <row r="75" spans="1:5">
      <c r="A75" t="s">
        <v>78</v>
      </c>
      <c r="B75">
        <f>標準化權重!B75-每日權重!B75</f>
        <v>0</v>
      </c>
      <c r="C75" s="7">
        <f>標準化權重!C75-每日權重!C75</f>
        <v>-3.5007355226027159E-4</v>
      </c>
      <c r="D75" s="7">
        <f>標準化權重!D75-每日權重!D75</f>
        <v>6.0190466820642108E-4</v>
      </c>
      <c r="E75" s="7">
        <f>標準化權重!E75-每日權重!E75</f>
        <v>-2.5183111594609398E-4</v>
      </c>
    </row>
    <row r="76" spans="1:5">
      <c r="A76" t="s">
        <v>79</v>
      </c>
      <c r="B76">
        <f>標準化權重!B76-每日權重!B76</f>
        <v>0</v>
      </c>
      <c r="C76" s="7">
        <f>標準化權重!C76-每日權重!C76</f>
        <v>-3.480754748737408E-4</v>
      </c>
      <c r="D76" s="7">
        <f>標準化權重!D76-每日權重!D76</f>
        <v>5.9671708583841632E-4</v>
      </c>
      <c r="E76" s="7">
        <f>標準化權重!E76-每日權重!E76</f>
        <v>-2.4864161096470327E-4</v>
      </c>
    </row>
    <row r="77" spans="1:5">
      <c r="A77" t="s">
        <v>80</v>
      </c>
      <c r="B77">
        <f>標準化權重!B77-每日權重!B77</f>
        <v>0</v>
      </c>
      <c r="C77" s="7">
        <f>標準化權重!C77-每日權重!C77</f>
        <v>-3.495711628378334E-4</v>
      </c>
      <c r="D77" s="7">
        <f>標準化權重!D77-每日權重!D77</f>
        <v>6.0456412334763954E-4</v>
      </c>
      <c r="E77" s="7">
        <f>標準化權重!E77-每日權重!E77</f>
        <v>-2.5499296050990328E-4</v>
      </c>
    </row>
    <row r="78" spans="1:5">
      <c r="A78" t="s">
        <v>81</v>
      </c>
      <c r="B78">
        <f>標準化權重!B78-每日權重!B78</f>
        <v>0</v>
      </c>
      <c r="C78" s="7">
        <f>標準化權重!C78-每日權重!C78</f>
        <v>-3.4896679743011416E-4</v>
      </c>
      <c r="D78" s="7">
        <f>標準化權重!D78-每日權重!D78</f>
        <v>6.1030696281816343E-4</v>
      </c>
      <c r="E78" s="7">
        <f>標準化權重!E78-每日權重!E78</f>
        <v>-2.6134016538806315E-4</v>
      </c>
    </row>
    <row r="79" spans="1:5">
      <c r="A79" t="s">
        <v>82</v>
      </c>
      <c r="B79">
        <f>標準化權重!B79-每日權重!B79</f>
        <v>0</v>
      </c>
      <c r="C79" s="7">
        <f>標準化權重!C79-每日權重!C79</f>
        <v>-3.680862067161339E-4</v>
      </c>
      <c r="D79" s="7">
        <f>標準化權重!D79-每日權重!D79</f>
        <v>6.2358473019963334E-4</v>
      </c>
      <c r="E79" s="7">
        <f>標準化權重!E79-每日權重!E79</f>
        <v>-2.5549852348363822E-4</v>
      </c>
    </row>
    <row r="80" spans="1:5">
      <c r="A80" t="s">
        <v>83</v>
      </c>
      <c r="B80">
        <f>標準化權重!B80-每日權重!B80</f>
        <v>0</v>
      </c>
      <c r="C80" s="7">
        <f>標準化權重!C80-每日權重!C80</f>
        <v>-3.6675732485384749E-4</v>
      </c>
      <c r="D80" s="7">
        <f>標準化權重!D80-每日權重!D80</f>
        <v>6.2076023770851751E-4</v>
      </c>
      <c r="E80" s="7">
        <f>標準化權重!E80-每日權重!E80</f>
        <v>-2.5400291285476717E-4</v>
      </c>
    </row>
    <row r="81" spans="1:5">
      <c r="A81" t="s">
        <v>84</v>
      </c>
      <c r="B81">
        <f>標準化權重!B81-每日權重!B81</f>
        <v>0</v>
      </c>
      <c r="C81" s="7">
        <f>標準化權重!C81-每日權重!C81</f>
        <v>-3.6384192774853441E-4</v>
      </c>
      <c r="D81" s="7">
        <f>標準化權重!D81-每日權重!D81</f>
        <v>6.2788238338895574E-4</v>
      </c>
      <c r="E81" s="7">
        <f>標準化權重!E81-每日權重!E81</f>
        <v>-2.6404045564022705E-4</v>
      </c>
    </row>
    <row r="82" spans="1:5">
      <c r="A82" t="s">
        <v>85</v>
      </c>
      <c r="B82">
        <f>標準化權重!B82-每日權重!B82</f>
        <v>0</v>
      </c>
      <c r="C82" s="7">
        <f>標準化權重!C82-每日權重!C82</f>
        <v>-3.6742670645650843E-4</v>
      </c>
      <c r="D82" s="7">
        <f>標準化權重!D82-每日權重!D82</f>
        <v>6.325047573314535E-4</v>
      </c>
      <c r="E82" s="7">
        <f>標準化權重!E82-每日權重!E82</f>
        <v>-2.6507805087493119E-4</v>
      </c>
    </row>
    <row r="83" spans="1:5">
      <c r="A83" t="s">
        <v>86</v>
      </c>
      <c r="B83">
        <f>標準化權重!B83-每日權重!B83</f>
        <v>0</v>
      </c>
      <c r="C83" s="7">
        <f>標準化權重!C83-每日權重!C83</f>
        <v>-3.6384192774856217E-4</v>
      </c>
      <c r="D83" s="7">
        <f>標準化權重!D83-每日權重!D83</f>
        <v>6.278823833887337E-4</v>
      </c>
      <c r="E83" s="7">
        <f>標準化權重!E83-每日權重!E83</f>
        <v>-2.6404045564024092E-4</v>
      </c>
    </row>
    <row r="84" spans="1:5">
      <c r="A84" t="s">
        <v>87</v>
      </c>
      <c r="B84">
        <f>標準化權重!B84-每日權重!B84</f>
        <v>0</v>
      </c>
      <c r="C84" s="7">
        <f>標準化權重!C84-每日權重!C84</f>
        <v>-3.578364895155256E-4</v>
      </c>
      <c r="D84" s="7">
        <f>標準化權重!D84-每日權重!D84</f>
        <v>6.2226184830793674E-4</v>
      </c>
      <c r="E84" s="7">
        <f>標準化權重!E84-每日權重!E84</f>
        <v>-2.6442535879243889E-4</v>
      </c>
    </row>
    <row r="85" spans="1:5">
      <c r="A85" t="s">
        <v>88</v>
      </c>
      <c r="B85">
        <f>標準化權重!B85-每日權重!B85</f>
        <v>0</v>
      </c>
      <c r="C85" s="7">
        <f>標準化權重!C85-每日權重!C85</f>
        <v>-3.5858339915599557E-4</v>
      </c>
      <c r="D85" s="7">
        <f>標準化權重!D85-每日權重!D85</f>
        <v>6.2907702154924028E-4</v>
      </c>
      <c r="E85" s="7">
        <f>標準化權重!E85-每日權重!E85</f>
        <v>-2.7049362239321695E-4</v>
      </c>
    </row>
    <row r="86" spans="1:5">
      <c r="A86" t="s">
        <v>89</v>
      </c>
      <c r="B86">
        <f>標準化權重!B86-每日權重!B86</f>
        <v>0</v>
      </c>
      <c r="C86" s="7">
        <f>標準化權重!C86-每日權重!C86</f>
        <v>-3.5200940019142202E-4</v>
      </c>
      <c r="D86" s="7">
        <f>標準化權重!D86-每日權重!D86</f>
        <v>6.1988007696944791E-4</v>
      </c>
      <c r="E86" s="7">
        <f>標準化權重!E86-每日權重!E86</f>
        <v>-2.6787067677812304E-4</v>
      </c>
    </row>
    <row r="87" spans="1:5">
      <c r="A87" t="s">
        <v>90</v>
      </c>
      <c r="B87">
        <f>標準化權重!B87-每日權重!B87</f>
        <v>0</v>
      </c>
      <c r="C87" s="7">
        <f>標準化權重!C87-每日權重!C87</f>
        <v>-3.5164500851776748E-4</v>
      </c>
      <c r="D87" s="7">
        <f>標準化權重!D87-每日權重!D87</f>
        <v>6.2573968898227417E-4</v>
      </c>
      <c r="E87" s="7">
        <f>標準化權重!E87-每日權重!E87</f>
        <v>-2.7409468046438179E-4</v>
      </c>
    </row>
    <row r="88" spans="1:5">
      <c r="A88" t="s">
        <v>91</v>
      </c>
      <c r="B88">
        <f>標準化權重!B88-每日權重!B88</f>
        <v>0</v>
      </c>
      <c r="C88" s="7">
        <f>標準化權重!C88-每日權重!C88</f>
        <v>-3.5187937008286652E-4</v>
      </c>
      <c r="D88" s="7">
        <f>標準化權重!D88-每日權重!D88</f>
        <v>6.2276384964843334E-4</v>
      </c>
      <c r="E88" s="7">
        <f>標準化權重!E88-每日權重!E88</f>
        <v>-2.7088447956551132E-4</v>
      </c>
    </row>
    <row r="89" spans="1:5">
      <c r="A89" t="s">
        <v>92</v>
      </c>
      <c r="B89">
        <f>標準化權重!B89-每日權重!B89</f>
        <v>0</v>
      </c>
      <c r="C89" s="7">
        <f>標準化權重!C89-每日權重!C89</f>
        <v>-3.4658969681412855E-4</v>
      </c>
      <c r="D89" s="7">
        <f>標準化權重!D89-每日權重!D89</f>
        <v>6.2319538768318417E-4</v>
      </c>
      <c r="E89" s="7">
        <f>標準化權重!E89-每日權重!E89</f>
        <v>-2.7660569086909725E-4</v>
      </c>
    </row>
    <row r="90" spans="1:5">
      <c r="A90" t="s">
        <v>93</v>
      </c>
      <c r="B90">
        <f>標準化權重!B90-每日權重!B90</f>
        <v>0</v>
      </c>
      <c r="C90" s="7">
        <f>標準化權重!C90-每日權重!C90</f>
        <v>-3.4299177965219085E-4</v>
      </c>
      <c r="D90" s="7">
        <f>標準化權重!D90-每日權重!D90</f>
        <v>6.1571794302761607E-4</v>
      </c>
      <c r="E90" s="7">
        <f>標準化權重!E90-每日權重!E90</f>
        <v>-2.7272616337535582E-4</v>
      </c>
    </row>
    <row r="91" spans="1:5">
      <c r="A91" t="s">
        <v>94</v>
      </c>
      <c r="B91">
        <f>標準化權重!B91-每日權重!B91</f>
        <v>0</v>
      </c>
      <c r="C91" s="7">
        <f>標準化權重!C91-每日權重!C91</f>
        <v>-3.4132590151918218E-4</v>
      </c>
      <c r="D91" s="7">
        <f>標準化權重!D91-每日權重!D91</f>
        <v>6.1017847908773071E-4</v>
      </c>
      <c r="E91" s="7">
        <f>標準化權重!E91-每日權重!E91</f>
        <v>-2.6885257756863179E-4</v>
      </c>
    </row>
    <row r="92" spans="1:5">
      <c r="A92" t="s">
        <v>95</v>
      </c>
      <c r="B92">
        <f>標準化權重!B92-每日權重!B92</f>
        <v>0</v>
      </c>
      <c r="C92" s="7">
        <f>標準化權重!C92-每日權重!C92</f>
        <v>-3.4415949647259581E-4</v>
      </c>
      <c r="D92" s="7">
        <f>標準化權重!D92-每日權重!D92</f>
        <v>6.1344564463294837E-4</v>
      </c>
      <c r="E92" s="7">
        <f>標準化權重!E92-每日權重!E92</f>
        <v>-2.6928614816043583E-4</v>
      </c>
    </row>
    <row r="93" spans="1:5">
      <c r="A93" t="s">
        <v>96</v>
      </c>
      <c r="B93">
        <f>標準化權重!B93-每日權重!B93</f>
        <v>0</v>
      </c>
      <c r="C93" s="7">
        <f>標準化權重!C93-每日權重!C93</f>
        <v>-3.5163934525250795E-4</v>
      </c>
      <c r="D93" s="7">
        <f>標準化權重!D93-每日權重!D93</f>
        <v>6.1984381608370942E-4</v>
      </c>
      <c r="E93" s="7">
        <f>標準化權重!E93-每日權重!E93</f>
        <v>-2.6820447083114596E-4</v>
      </c>
    </row>
    <row r="94" spans="1:5">
      <c r="A94" t="s">
        <v>97</v>
      </c>
      <c r="B94">
        <f>標準化權重!B94-每日權重!B94</f>
        <v>0</v>
      </c>
      <c r="C94" s="7">
        <f>標準化權重!C94-每日權重!C94</f>
        <v>-3.6184992243712411E-4</v>
      </c>
      <c r="D94" s="7">
        <f>標準化權重!D94-每日權重!D94</f>
        <v>6.4419043316343849E-4</v>
      </c>
      <c r="E94" s="7">
        <f>標準化權重!E94-每日權重!E94</f>
        <v>-2.8234051072642541E-4</v>
      </c>
    </row>
    <row r="95" spans="1:5">
      <c r="A95" t="s">
        <v>98</v>
      </c>
      <c r="B95">
        <f>標準化權重!B95-每日權重!B95</f>
        <v>0</v>
      </c>
      <c r="C95" s="7">
        <f>標準化權重!C95-每日權重!C95</f>
        <v>-3.6270158956333565E-4</v>
      </c>
      <c r="D95" s="7">
        <f>標準化權重!D95-每日權重!D95</f>
        <v>6.5043490732541454E-4</v>
      </c>
      <c r="E95" s="7">
        <f>標準化權重!E95-每日權重!E95</f>
        <v>-2.8773331776217603E-4</v>
      </c>
    </row>
    <row r="96" spans="1:5">
      <c r="A96" t="s">
        <v>99</v>
      </c>
      <c r="B96">
        <f>標準化權重!B96-每日權重!B96</f>
        <v>0</v>
      </c>
      <c r="C96" s="7">
        <f>標準化權重!C96-每日權重!C96</f>
        <v>-3.5776492717383424E-4</v>
      </c>
      <c r="D96" s="7">
        <f>標準化權重!D96-每日權重!D96</f>
        <v>6.4499081461744101E-4</v>
      </c>
      <c r="E96" s="7">
        <f>標準化權重!E96-每日權重!E96</f>
        <v>-2.8722588744370392E-4</v>
      </c>
    </row>
    <row r="97" spans="1:5">
      <c r="A97" t="s">
        <v>100</v>
      </c>
      <c r="B97">
        <f>標準化權重!B97-每日權重!B97</f>
        <v>0</v>
      </c>
      <c r="C97" s="7">
        <f>標準化權重!C97-每日權重!C97</f>
        <v>-3.5654955449679337E-4</v>
      </c>
      <c r="D97" s="7">
        <f>標準化權重!D97-每日權重!D97</f>
        <v>6.4928695470334308E-4</v>
      </c>
      <c r="E97" s="7">
        <f>標準化權重!E97-每日權重!E97</f>
        <v>-2.9273740020659134E-4</v>
      </c>
    </row>
    <row r="98" spans="1:5">
      <c r="A98" t="s">
        <v>101</v>
      </c>
      <c r="B98">
        <f>標準化權重!B98-每日權重!B98</f>
        <v>0</v>
      </c>
      <c r="C98" s="7">
        <f>標準化權重!C98-每日權重!C98</f>
        <v>-3.562558467225807E-4</v>
      </c>
      <c r="D98" s="7">
        <f>標準化權重!D98-每日權重!D98</f>
        <v>6.4360758196091439E-4</v>
      </c>
      <c r="E98" s="7">
        <f>標準化權重!E98-每日權重!E98</f>
        <v>-2.8735173523827817E-4</v>
      </c>
    </row>
    <row r="99" spans="1:5">
      <c r="A99" t="s">
        <v>102</v>
      </c>
      <c r="B99">
        <f>標準化權重!B99-每日權重!B99</f>
        <v>0</v>
      </c>
      <c r="C99" s="7">
        <f>標準化權重!C99-每日權重!C99</f>
        <v>-3.5515867329855011E-4</v>
      </c>
      <c r="D99" s="7">
        <f>標準化權重!D99-每日權重!D99</f>
        <v>6.4223326054790864E-4</v>
      </c>
      <c r="E99" s="7">
        <f>標準化權重!E99-每日權重!E99</f>
        <v>-2.8707458724917811E-4</v>
      </c>
    </row>
    <row r="100" spans="1:5">
      <c r="A100" t="s">
        <v>103</v>
      </c>
      <c r="B100">
        <f>標準化權重!B100-每日權重!B100</f>
        <v>0</v>
      </c>
      <c r="C100" s="7">
        <f>標準化權重!C100-每日權重!C100</f>
        <v>-3.4927007112386943E-4</v>
      </c>
      <c r="D100" s="7">
        <f>標準化權重!D100-每日權重!D100</f>
        <v>6.3378185603524262E-4</v>
      </c>
      <c r="E100" s="7">
        <f>標準化權重!E100-每日權重!E100</f>
        <v>-2.8451178491127604E-4</v>
      </c>
    </row>
    <row r="101" spans="1:5">
      <c r="A101" t="s">
        <v>104</v>
      </c>
      <c r="B101">
        <f>標準化權重!B101-每日權重!B101</f>
        <v>0</v>
      </c>
      <c r="C101" s="7">
        <f>標準化權重!C101-每日權重!C101</f>
        <v>-3.5296728447020698E-4</v>
      </c>
      <c r="D101" s="7">
        <f>標準化權重!D101-每日權重!D101</f>
        <v>6.3085910069815565E-4</v>
      </c>
      <c r="E101" s="7">
        <f>標準化權重!E101-每日權重!E101</f>
        <v>-2.7789181622778214E-4</v>
      </c>
    </row>
    <row r="102" spans="1:5">
      <c r="A102" t="s">
        <v>105</v>
      </c>
      <c r="B102">
        <f>標準化權重!B102-每日權重!B102</f>
        <v>0</v>
      </c>
      <c r="C102" s="7">
        <f>標準化權重!C102-每日權重!C102</f>
        <v>-3.4305900819894819E-4</v>
      </c>
      <c r="D102" s="7">
        <f>標準化權重!D102-每日權重!D102</f>
        <v>6.2313345927444974E-4</v>
      </c>
      <c r="E102" s="7">
        <f>標準化權重!E102-每日權重!E102</f>
        <v>-2.8007445107550155E-4</v>
      </c>
    </row>
    <row r="103" spans="1:5">
      <c r="A103" t="s">
        <v>106</v>
      </c>
      <c r="B103">
        <f>標準化權重!B103-每日權重!B103</f>
        <v>0</v>
      </c>
      <c r="C103" s="7">
        <f>標準化權重!C103-每日權重!C103</f>
        <v>-3.4758926171819804E-4</v>
      </c>
      <c r="D103" s="7">
        <f>標準化權重!D103-每日權重!D103</f>
        <v>6.280625403550788E-4</v>
      </c>
      <c r="E103" s="7">
        <f>標準化權重!E103-每日權重!E103</f>
        <v>-2.8047327863700566E-4</v>
      </c>
    </row>
    <row r="104" spans="1:5">
      <c r="A104" t="s">
        <v>107</v>
      </c>
      <c r="B104">
        <f>標準化權重!B104-每日權重!B104</f>
        <v>0</v>
      </c>
      <c r="C104" s="7">
        <f>標準化權重!C104-每日權重!C104</f>
        <v>-3.5151344307313148E-4</v>
      </c>
      <c r="D104" s="7">
        <f>標準化權重!D104-每日權重!D104</f>
        <v>6.2934512377488261E-4</v>
      </c>
      <c r="E104" s="7">
        <f>標準化權重!E104-每日權重!E104</f>
        <v>-2.7783168070172337E-4</v>
      </c>
    </row>
    <row r="105" spans="1:5">
      <c r="A105" t="s">
        <v>108</v>
      </c>
      <c r="B105">
        <f>標準化權重!B105-每日權重!B105</f>
        <v>0</v>
      </c>
      <c r="C105" s="7">
        <f>標準化權重!C105-每日權重!C105</f>
        <v>-3.5440281455186018E-4</v>
      </c>
      <c r="D105" s="7">
        <f>標準化權重!D105-每日權重!D105</f>
        <v>6.3043044378496838E-4</v>
      </c>
      <c r="E105" s="7">
        <f>標準化權重!E105-每日權重!E105</f>
        <v>-2.7602762923320534E-4</v>
      </c>
    </row>
    <row r="106" spans="1:5">
      <c r="A106" t="s">
        <v>109</v>
      </c>
      <c r="B106">
        <f>標準化權重!B106-每日權重!B106</f>
        <v>0</v>
      </c>
      <c r="C106" s="7">
        <f>標準化權重!C106-每日權重!C106</f>
        <v>-6.5148633310575799E-4</v>
      </c>
      <c r="D106" s="7">
        <f>標準化權重!D106-每日權重!D106</f>
        <v>1.1794051803566408E-3</v>
      </c>
      <c r="E106" s="7">
        <f>標準化權重!E106-每日權重!E106</f>
        <v>-5.2791884725096605E-4</v>
      </c>
    </row>
    <row r="107" spans="1:5">
      <c r="A107" t="s">
        <v>110</v>
      </c>
      <c r="B107">
        <f>標準化權重!B107-每日權重!B107</f>
        <v>0</v>
      </c>
      <c r="C107" s="7">
        <f>標準化權重!C107-每日權重!C107</f>
        <v>-6.6579409713796167E-4</v>
      </c>
      <c r="D107" s="7">
        <f>標準化權重!D107-每日權重!D107</f>
        <v>1.1927354360545817E-3</v>
      </c>
      <c r="E107" s="7">
        <f>標準化權重!E107-每日權重!E107</f>
        <v>-5.2694133891650896E-4</v>
      </c>
    </row>
    <row r="108" spans="1:5">
      <c r="A108" t="s">
        <v>111</v>
      </c>
      <c r="B108">
        <f>標準化權重!B108-每日權重!B108</f>
        <v>0</v>
      </c>
      <c r="C108" s="7">
        <f>標準化權重!C108-每日權重!C108</f>
        <v>-6.7279456615459976E-4</v>
      </c>
      <c r="D108" s="7">
        <f>標準化權重!D108-每日權重!D108</f>
        <v>1.1942832379790991E-3</v>
      </c>
      <c r="E108" s="7">
        <f>標準化權重!E108-每日權重!E108</f>
        <v>-5.2148867182461034E-4</v>
      </c>
    </row>
    <row r="109" spans="1:5">
      <c r="A109" t="s">
        <v>112</v>
      </c>
      <c r="B109">
        <f>標準化權重!B109-每日權重!B109</f>
        <v>0</v>
      </c>
      <c r="C109" s="7">
        <f>標準化權重!C109-每日權重!C109</f>
        <v>-6.5660516162055482E-4</v>
      </c>
      <c r="D109" s="7">
        <f>標準化權重!D109-每日權重!D109</f>
        <v>1.1786807882344652E-3</v>
      </c>
      <c r="E109" s="7">
        <f>標準化權重!E109-每日權重!E109</f>
        <v>-5.2207562661374385E-4</v>
      </c>
    </row>
    <row r="110" spans="1:5">
      <c r="A110" t="s">
        <v>113</v>
      </c>
      <c r="B110">
        <f>標準化權重!B110-每日權重!B110</f>
        <v>0</v>
      </c>
      <c r="C110" s="7">
        <f>標準化權重!C110-每日權重!C110</f>
        <v>-6.4599216722813213E-4</v>
      </c>
      <c r="D110" s="7">
        <f>標準化權重!D110-每日權重!D110</f>
        <v>1.1768411392693023E-3</v>
      </c>
      <c r="E110" s="7">
        <f>標準化權重!E110-每日權重!E110</f>
        <v>-5.308489720411147E-4</v>
      </c>
    </row>
    <row r="111" spans="1:5">
      <c r="A111" t="s">
        <v>114</v>
      </c>
      <c r="B111">
        <f>標準化權重!B111-每日權重!B111</f>
        <v>0</v>
      </c>
      <c r="C111" s="7">
        <f>標準化權重!C111-每日權重!C111</f>
        <v>-6.8204909290296711E-4</v>
      </c>
      <c r="D111" s="7">
        <f>標準化權重!D111-每日權重!D111</f>
        <v>1.2104468266229684E-3</v>
      </c>
      <c r="E111" s="7">
        <f>標準化權重!E111-每日權重!E111</f>
        <v>-5.2839773371989029E-4</v>
      </c>
    </row>
    <row r="112" spans="1:5">
      <c r="A112" t="s">
        <v>115</v>
      </c>
      <c r="B112">
        <f>標準化權重!B112-每日權重!B112</f>
        <v>0</v>
      </c>
      <c r="C112" s="7">
        <f>標準化權重!C112-每日權重!C112</f>
        <v>-6.7375323595010583E-4</v>
      </c>
      <c r="D112" s="7">
        <f>標準化權重!D112-每日權重!D112</f>
        <v>1.2056956065434887E-3</v>
      </c>
      <c r="E112" s="7">
        <f>標準化權重!E112-每日權重!E112</f>
        <v>-5.3194237059332738E-4</v>
      </c>
    </row>
    <row r="113" spans="1:5">
      <c r="A113" t="s">
        <v>116</v>
      </c>
      <c r="B113">
        <f>標準化權重!B113-每日權重!B113</f>
        <v>0</v>
      </c>
      <c r="C113" s="7">
        <f>標準化權重!C113-每日權重!C113</f>
        <v>-6.7765859988518085E-4</v>
      </c>
      <c r="D113" s="7">
        <f>標準化權重!D113-每日權重!D113</f>
        <v>1.1987047115230576E-3</v>
      </c>
      <c r="E113" s="7">
        <f>標準化權重!E113-每日權重!E113</f>
        <v>-5.2104611163793224E-4</v>
      </c>
    </row>
    <row r="114" spans="1:5">
      <c r="A114" t="s">
        <v>117</v>
      </c>
      <c r="B114">
        <f>標準化權重!B114-每日權重!B114</f>
        <v>0</v>
      </c>
      <c r="C114" s="7">
        <f>標準化權重!C114-每日權重!C114</f>
        <v>-6.9026960418473726E-4</v>
      </c>
      <c r="D114" s="7">
        <f>標準化權重!D114-每日權重!D114</f>
        <v>1.199248037660694E-3</v>
      </c>
      <c r="E114" s="7">
        <f>標準化權重!E114-每日權重!E114</f>
        <v>-5.0897843347605387E-4</v>
      </c>
    </row>
    <row r="115" spans="1:5">
      <c r="A115" t="s">
        <v>118</v>
      </c>
      <c r="B115">
        <f>標準化權重!B115-每日權重!B115</f>
        <v>0</v>
      </c>
      <c r="C115" s="7">
        <f>標準化權重!C115-每日權重!C115</f>
        <v>-6.7913501184108105E-4</v>
      </c>
      <c r="D115" s="7">
        <f>標準化權重!D115-每日權重!D115</f>
        <v>1.1895535775686694E-3</v>
      </c>
      <c r="E115" s="7">
        <f>標準化權重!E115-每日權重!E115</f>
        <v>-5.1041856572749122E-4</v>
      </c>
    </row>
    <row r="116" spans="1:5">
      <c r="A116" t="s">
        <v>119</v>
      </c>
      <c r="B116">
        <f>標準化權重!B116-每日權重!B116</f>
        <v>0</v>
      </c>
      <c r="C116" s="7">
        <f>標準化權重!C116-每日權重!C116</f>
        <v>-6.8634320782907932E-4</v>
      </c>
      <c r="D116" s="7">
        <f>標準化權重!D116-每日權重!D116</f>
        <v>1.1924823518216776E-3</v>
      </c>
      <c r="E116" s="7">
        <f>標準化權重!E116-每日權重!E116</f>
        <v>-5.0613914399266768E-4</v>
      </c>
    </row>
    <row r="117" spans="1:5">
      <c r="A117" t="s">
        <v>120</v>
      </c>
      <c r="B117">
        <f>標準化權重!B117-每日權重!B117</f>
        <v>0</v>
      </c>
      <c r="C117" s="7">
        <f>標準化權重!C117-每日權重!C117</f>
        <v>-6.870505059110299E-4</v>
      </c>
      <c r="D117" s="7">
        <f>標準化權重!D117-每日權重!D117</f>
        <v>1.1919631411889675E-3</v>
      </c>
      <c r="E117" s="7">
        <f>標準化權重!E117-每日權重!E117</f>
        <v>-5.0491263527793762E-4</v>
      </c>
    </row>
    <row r="118" spans="1:5">
      <c r="A118" t="s">
        <v>121</v>
      </c>
      <c r="B118">
        <f>標準化權重!B118-每日權重!B118</f>
        <v>0</v>
      </c>
      <c r="C118" s="7">
        <f>標準化權重!C118-每日權重!C118</f>
        <v>-6.9018678105894904E-4</v>
      </c>
      <c r="D118" s="7">
        <f>標準化權重!D118-每日權重!D118</f>
        <v>1.1980919570334647E-3</v>
      </c>
      <c r="E118" s="7">
        <f>標準化權重!E118-每日權重!E118</f>
        <v>-5.0790517597448792E-4</v>
      </c>
    </row>
    <row r="119" spans="1:5">
      <c r="A119" t="s">
        <v>122</v>
      </c>
      <c r="B119">
        <f>標準化權重!B119-每日權重!B119</f>
        <v>0</v>
      </c>
      <c r="C119" s="7">
        <f>標準化權重!C119-每日權重!C119</f>
        <v>1.6201339284588612E-3</v>
      </c>
      <c r="D119" s="7">
        <f>標準化權重!D119-每日權重!D119</f>
        <v>-9.1894097142186659E-4</v>
      </c>
      <c r="E119" s="7">
        <f>標準化權重!E119-每日權重!E119</f>
        <v>-7.0119295703695295E-4</v>
      </c>
    </row>
    <row r="120" spans="1:5">
      <c r="A120" t="s">
        <v>123</v>
      </c>
      <c r="B120">
        <f>標準化權重!B120-每日權重!B120</f>
        <v>0</v>
      </c>
      <c r="C120" s="7">
        <f>標準化權重!C120-每日權重!C120</f>
        <v>1.5861604967816606E-3</v>
      </c>
      <c r="D120" s="7">
        <f>標準化權重!D120-每日權重!D120</f>
        <v>-9.0009941436675067E-4</v>
      </c>
      <c r="E120" s="7">
        <f>標準化權重!E120-每日權重!E120</f>
        <v>-6.860610824149932E-4</v>
      </c>
    </row>
    <row r="121" spans="1:5">
      <c r="A121" t="s">
        <v>124</v>
      </c>
      <c r="B121">
        <f>標準化權重!B121-每日權重!B121</f>
        <v>0</v>
      </c>
      <c r="C121" s="7">
        <f>標準化權重!C121-每日權重!C121</f>
        <v>1.4823688316754624E-3</v>
      </c>
      <c r="D121" s="7">
        <f>標準化權重!D121-每日權重!D121</f>
        <v>-2.2516763735247469E-3</v>
      </c>
      <c r="E121" s="7">
        <f>標準化權重!E121-每日權重!E121</f>
        <v>7.69307541849229E-4</v>
      </c>
    </row>
    <row r="122" spans="1:5">
      <c r="A122" t="s">
        <v>125</v>
      </c>
      <c r="B122">
        <f>標準化權重!B122-每日權重!B122</f>
        <v>0</v>
      </c>
      <c r="C122" s="7">
        <f>標準化權重!C122-每日權重!C122</f>
        <v>1.4855389177242523E-3</v>
      </c>
      <c r="D122" s="7">
        <f>標準化權重!D122-每日權重!D122</f>
        <v>-2.2427384174277254E-3</v>
      </c>
      <c r="E122" s="7">
        <f>標準化權重!E122-每日權重!E122</f>
        <v>7.5719949970340372E-4</v>
      </c>
    </row>
    <row r="123" spans="1:5">
      <c r="A123" t="s">
        <v>126</v>
      </c>
      <c r="B123">
        <f>標準化權重!B123-每日權重!B123</f>
        <v>0</v>
      </c>
      <c r="C123" s="7">
        <f>標準化權重!C123-每日權重!C123</f>
        <v>1.5121700544074301E-3</v>
      </c>
      <c r="D123" s="7">
        <f>標準化權重!D123-每日權重!D123</f>
        <v>-2.2789290741175305E-3</v>
      </c>
      <c r="E123" s="7">
        <f>標準化權重!E123-每日權重!E123</f>
        <v>7.6675901970989224E-4</v>
      </c>
    </row>
    <row r="124" spans="1:5">
      <c r="A124" t="s">
        <v>127</v>
      </c>
      <c r="B124">
        <f>標準化權重!B124-每日權重!B124</f>
        <v>0</v>
      </c>
      <c r="C124" s="7">
        <f>標準化權重!C124-每日權重!C124</f>
        <v>1.4968408230959657E-3</v>
      </c>
      <c r="D124" s="7">
        <f>標準化權重!D124-每日權重!D124</f>
        <v>-2.280590973962382E-3</v>
      </c>
      <c r="E124" s="7">
        <f>標準化權重!E124-每日權重!E124</f>
        <v>7.8375015086633304E-4</v>
      </c>
    </row>
    <row r="125" spans="1:5">
      <c r="A125" t="s">
        <v>128</v>
      </c>
      <c r="B125">
        <f>標準化權重!B125-每日權重!B125</f>
        <v>0</v>
      </c>
      <c r="C125" s="7">
        <f>標準化權重!C125-每日權重!C125</f>
        <v>1.4842182009309479E-3</v>
      </c>
      <c r="D125" s="7">
        <f>標準化權重!D125-每日權重!D125</f>
        <v>-2.2556124719204096E-3</v>
      </c>
      <c r="E125" s="7">
        <f>標準化權重!E125-每日權重!E125</f>
        <v>7.7139427098955882E-4</v>
      </c>
    </row>
    <row r="126" spans="1:5">
      <c r="A126" t="s">
        <v>129</v>
      </c>
      <c r="B126">
        <f>標準化權重!B126-每日權重!B126</f>
        <v>0</v>
      </c>
      <c r="C126" s="7">
        <f>標準化權重!C126-每日權重!C126</f>
        <v>1.4628549882636233E-3</v>
      </c>
      <c r="D126" s="7">
        <f>標準化權重!D126-每日權重!D126</f>
        <v>-2.2097936208502755E-3</v>
      </c>
      <c r="E126" s="7">
        <f>標準化權重!E126-每日權重!E126</f>
        <v>7.4693863258681881E-4</v>
      </c>
    </row>
    <row r="127" spans="1:5">
      <c r="A127" t="s">
        <v>130</v>
      </c>
      <c r="B127">
        <f>標準化權重!B127-每日權重!B127</f>
        <v>0</v>
      </c>
      <c r="C127" s="7">
        <f>標準化權重!C127-每日權重!C127</f>
        <v>1.457448789409968E-3</v>
      </c>
      <c r="D127" s="7">
        <f>標準化權重!D127-每日權重!D127</f>
        <v>-2.2017464822419175E-3</v>
      </c>
      <c r="E127" s="7">
        <f>標準化權重!E127-每日權重!E127</f>
        <v>7.442976928319911E-4</v>
      </c>
    </row>
    <row r="128" spans="1:5">
      <c r="A128" t="s">
        <v>131</v>
      </c>
      <c r="B128">
        <f>標準化權重!B128-每日權重!B128</f>
        <v>0</v>
      </c>
      <c r="C128" s="7">
        <f>標準化權重!C128-每日權重!C128</f>
        <v>1.4608027482870545E-3</v>
      </c>
      <c r="D128" s="7">
        <f>標準化權重!D128-每日權重!D128</f>
        <v>-2.2023423659841557E-3</v>
      </c>
      <c r="E128" s="7">
        <f>標準化權重!E128-每日權重!E128</f>
        <v>7.4153961769705956E-4</v>
      </c>
    </row>
    <row r="129" spans="1:5">
      <c r="A129" t="s">
        <v>132</v>
      </c>
      <c r="B129">
        <f>標準化權重!B129-每日權重!B129</f>
        <v>0</v>
      </c>
      <c r="C129" s="7">
        <f>標準化權重!C129-每日權重!C129</f>
        <v>1.4281815737915704E-3</v>
      </c>
      <c r="D129" s="7">
        <f>標準化權重!D129-每日權重!D129</f>
        <v>-2.1607187175847198E-3</v>
      </c>
      <c r="E129" s="7">
        <f>標準化權重!E129-每日權重!E129</f>
        <v>7.3253714379309387E-4</v>
      </c>
    </row>
    <row r="130" spans="1:5">
      <c r="A130" t="s">
        <v>133</v>
      </c>
      <c r="B130">
        <f>標準化權重!B130-每日權重!B130</f>
        <v>0</v>
      </c>
      <c r="C130" s="7">
        <f>標準化權重!C130-每日權重!C130</f>
        <v>1.4494208865309804E-3</v>
      </c>
      <c r="D130" s="7">
        <f>標準化權重!D130-每日權重!D130</f>
        <v>-2.1846331537141994E-3</v>
      </c>
      <c r="E130" s="7">
        <f>標準化權重!E130-每日權重!E130</f>
        <v>7.3521226718327448E-4</v>
      </c>
    </row>
    <row r="131" spans="1:5">
      <c r="A131" t="s">
        <v>134</v>
      </c>
      <c r="B131">
        <f>標準化權重!B131-每日權重!B131</f>
        <v>0</v>
      </c>
      <c r="C131" s="7">
        <f>標準化權重!C131-每日權重!C131</f>
        <v>1.4346431081587174E-3</v>
      </c>
      <c r="D131" s="7">
        <f>標準化權重!D131-每日權重!D131</f>
        <v>-2.1657031817003958E-3</v>
      </c>
      <c r="E131" s="7">
        <f>標準化權重!E131-每日權重!E131</f>
        <v>7.3106007354162283E-4</v>
      </c>
    </row>
    <row r="132" spans="1:5">
      <c r="A132" t="s">
        <v>135</v>
      </c>
      <c r="B132">
        <f>標準化權重!B132-每日權重!B132</f>
        <v>0</v>
      </c>
      <c r="C132" s="7">
        <f>標準化權重!C132-每日權重!C132</f>
        <v>1.4734832317341989E-3</v>
      </c>
      <c r="D132" s="7">
        <f>標準化權重!D132-每日權重!D132</f>
        <v>-2.2114049191022112E-3</v>
      </c>
      <c r="E132" s="7">
        <f>標準化權重!E132-每日權重!E132</f>
        <v>7.3792168736784569E-4</v>
      </c>
    </row>
    <row r="133" spans="1:5">
      <c r="A133" t="s">
        <v>136</v>
      </c>
      <c r="B133">
        <f>標準化權重!B133-每日權重!B133</f>
        <v>0</v>
      </c>
      <c r="C133" s="7">
        <f>標準化權重!C133-每日權重!C133</f>
        <v>1.4424349826453464E-3</v>
      </c>
      <c r="D133" s="7">
        <f>標準化權重!D133-每日權重!D133</f>
        <v>-2.187322391252855E-3</v>
      </c>
      <c r="E133" s="7">
        <f>標準化權重!E133-每日權重!E133</f>
        <v>7.4488740860755021E-4</v>
      </c>
    </row>
    <row r="134" spans="1:5">
      <c r="A134" t="s">
        <v>137</v>
      </c>
      <c r="B134">
        <f>標準化權重!B134-每日權重!B134</f>
        <v>0</v>
      </c>
      <c r="C134" s="7">
        <f>標準化權重!C134-每日權重!C134</f>
        <v>1.4474062272890192E-3</v>
      </c>
      <c r="D134" s="7">
        <f>標準化權重!D134-每日權重!D134</f>
        <v>-2.1905397190913334E-3</v>
      </c>
      <c r="E134" s="7">
        <f>標準化權重!E134-每日權重!E134</f>
        <v>7.4313349180245292E-4</v>
      </c>
    </row>
    <row r="135" spans="1:5">
      <c r="A135" t="s">
        <v>138</v>
      </c>
      <c r="B135">
        <f>標準化權重!B135-每日權重!B135</f>
        <v>0</v>
      </c>
      <c r="C135" s="7">
        <f>標準化權重!C135-每日權重!C135</f>
        <v>1.4530339455273017E-3</v>
      </c>
      <c r="D135" s="7">
        <f>標準化權重!D135-每日權重!D135</f>
        <v>-2.2168040350328821E-3</v>
      </c>
      <c r="E135" s="7">
        <f>標準化權重!E135-每日權重!E135</f>
        <v>7.6377008950556657E-4</v>
      </c>
    </row>
    <row r="136" spans="1:5">
      <c r="A136" t="s">
        <v>139</v>
      </c>
      <c r="B136">
        <f>標準化權重!B136-每日權重!B136</f>
        <v>0</v>
      </c>
      <c r="C136" s="7">
        <f>標準化權重!C136-每日權重!C136</f>
        <v>1.4381188684225304E-3</v>
      </c>
      <c r="D136" s="7">
        <f>標準化權重!D136-每日權重!D136</f>
        <v>-2.187901255437108E-3</v>
      </c>
      <c r="E136" s="7">
        <f>標準化權重!E136-每日權重!E136</f>
        <v>7.4978238701459143E-4</v>
      </c>
    </row>
    <row r="137" spans="1:5">
      <c r="A137" t="s">
        <v>140</v>
      </c>
      <c r="B137">
        <f>標準化權重!B137-每日權重!B137</f>
        <v>0</v>
      </c>
      <c r="C137" s="7">
        <f>標準化權重!C137-每日權重!C137</f>
        <v>1.458670582126273E-3</v>
      </c>
      <c r="D137" s="7">
        <f>標準化權重!D137-每日權重!D137</f>
        <v>-2.2158251713456645E-3</v>
      </c>
      <c r="E137" s="7">
        <f>標準化權重!E137-每日權重!E137</f>
        <v>7.5715458921950252E-4</v>
      </c>
    </row>
    <row r="138" spans="1:5">
      <c r="A138" t="s">
        <v>141</v>
      </c>
      <c r="B138">
        <f>標準化權重!B138-每日權重!B138</f>
        <v>0</v>
      </c>
      <c r="C138" s="7">
        <f>標準化權重!C138-每日權重!C138</f>
        <v>1.4821195949284161E-3</v>
      </c>
      <c r="D138" s="7">
        <f>標準化權重!D138-每日權重!D138</f>
        <v>-2.222290461885712E-3</v>
      </c>
      <c r="E138" s="7">
        <f>標準化權重!E138-每日權重!E138</f>
        <v>7.4017086695729595E-4</v>
      </c>
    </row>
    <row r="139" spans="1:5">
      <c r="A139" t="s">
        <v>142</v>
      </c>
      <c r="B139">
        <f>標準化權重!B139-每日權重!B139</f>
        <v>0</v>
      </c>
      <c r="C139" s="7">
        <f>標準化權重!C139-每日權重!C139</f>
        <v>1.4859957911940586E-3</v>
      </c>
      <c r="D139" s="7">
        <f>標準化權重!D139-每日權重!D139</f>
        <v>-2.1887083134253249E-3</v>
      </c>
      <c r="E139" s="7">
        <f>標準化權重!E139-每日權重!E139</f>
        <v>7.0271252223138431E-4</v>
      </c>
    </row>
    <row r="140" spans="1:5">
      <c r="A140" t="s">
        <v>143</v>
      </c>
      <c r="B140">
        <f>標準化權重!B140-每日權重!B140</f>
        <v>0</v>
      </c>
      <c r="C140" s="7">
        <f>標準化權重!C140-每日權重!C140</f>
        <v>1.4635217438185577E-3</v>
      </c>
      <c r="D140" s="7">
        <f>標準化權重!D140-每日權重!D140</f>
        <v>-2.1584110846648574E-3</v>
      </c>
      <c r="E140" s="7">
        <f>標準化權重!E140-每日權重!E140</f>
        <v>6.9488934084622339E-4</v>
      </c>
    </row>
    <row r="141" spans="1:5">
      <c r="A141" t="s">
        <v>144</v>
      </c>
      <c r="B141">
        <f>標準化權重!B141-每日權重!B141</f>
        <v>0</v>
      </c>
      <c r="C141" s="7">
        <f>標準化權重!C141-每日權重!C141</f>
        <v>1.4600932161255437E-3</v>
      </c>
      <c r="D141" s="7">
        <f>標準化權重!D141-每日權重!D141</f>
        <v>-2.1597573849123641E-3</v>
      </c>
      <c r="E141" s="7">
        <f>標準化權重!E141-每日權重!E141</f>
        <v>6.996641687868066E-4</v>
      </c>
    </row>
    <row r="142" spans="1:5">
      <c r="A142" t="s">
        <v>145</v>
      </c>
      <c r="B142">
        <f>標準化權重!B142-每日權重!B142</f>
        <v>0</v>
      </c>
      <c r="C142" s="7">
        <f>標準化權重!C142-每日權重!C142</f>
        <v>1.3668408459799608E-3</v>
      </c>
      <c r="D142" s="7">
        <f>標準化權重!D142-每日權重!D142</f>
        <v>-2.0813481339393425E-3</v>
      </c>
      <c r="E142" s="7">
        <f>標準化權重!E142-每日權重!E142</f>
        <v>7.1450728795928453E-4</v>
      </c>
    </row>
    <row r="143" spans="1:5">
      <c r="A143" t="s">
        <v>146</v>
      </c>
      <c r="B143">
        <f>標準化權重!B143-每日權重!B143</f>
        <v>0</v>
      </c>
      <c r="C143" s="7">
        <f>標準化權重!C143-每日權重!C143</f>
        <v>1.333546260222418E-3</v>
      </c>
      <c r="D143" s="7">
        <f>標準化權重!D143-每日權重!D143</f>
        <v>-2.0665037858031976E-3</v>
      </c>
      <c r="E143" s="7">
        <f>標準化權重!E143-每日權重!E143</f>
        <v>7.3295752558075189E-4</v>
      </c>
    </row>
    <row r="144" spans="1:5">
      <c r="A144" t="s">
        <v>147</v>
      </c>
      <c r="B144">
        <f>標準化權重!B144-每日權重!B144</f>
        <v>0</v>
      </c>
      <c r="C144" s="7">
        <f>標準化權重!C144-每日權重!C144</f>
        <v>1.3170806102446864E-3</v>
      </c>
      <c r="D144" s="7">
        <f>標準化權重!D144-每日權重!D144</f>
        <v>-2.0494225676901401E-3</v>
      </c>
      <c r="E144" s="7">
        <f>標準化權重!E144-每日權重!E144</f>
        <v>7.3234195744541208E-4</v>
      </c>
    </row>
    <row r="145" spans="1:5">
      <c r="A145" t="s">
        <v>148</v>
      </c>
      <c r="B145">
        <f>標準化權重!B145-每日權重!B145</f>
        <v>0</v>
      </c>
      <c r="C145" s="7">
        <f>標準化權重!C145-每日權重!C145</f>
        <v>1.3091693274215332E-3</v>
      </c>
      <c r="D145" s="7">
        <f>標準化權重!D145-每日權重!D145</f>
        <v>-2.0225007782069815E-3</v>
      </c>
      <c r="E145" s="7">
        <f>標準化權重!E145-每日權重!E145</f>
        <v>7.133314507853511E-4</v>
      </c>
    </row>
    <row r="146" spans="1:5">
      <c r="A146" t="s">
        <v>149</v>
      </c>
      <c r="B146">
        <f>標準化權重!B146-每日權重!B146</f>
        <v>0</v>
      </c>
      <c r="C146" s="7">
        <f>標準化權重!C146-每日權重!C146</f>
        <v>1.3449560404861921E-3</v>
      </c>
      <c r="D146" s="7">
        <f>標準化權重!D146-每日權重!D146</f>
        <v>-2.0764112256652645E-3</v>
      </c>
      <c r="E146" s="7">
        <f>標準化權重!E146-每日權重!E146</f>
        <v>7.3145518517900299E-4</v>
      </c>
    </row>
    <row r="147" spans="1:5">
      <c r="A147" t="s">
        <v>150</v>
      </c>
      <c r="B147">
        <f>標準化權重!B147-每日權重!B147</f>
        <v>0</v>
      </c>
      <c r="C147" s="7">
        <f>標準化權重!C147-每日權重!C147</f>
        <v>1.3774154791859616E-3</v>
      </c>
      <c r="D147" s="7">
        <f>標準化權重!D147-每日權重!D147</f>
        <v>-2.0960714521806034E-3</v>
      </c>
      <c r="E147" s="7">
        <f>標準化權重!E147-每日權重!E147</f>
        <v>7.1865597299471812E-4</v>
      </c>
    </row>
    <row r="148" spans="1:5">
      <c r="A148" t="s">
        <v>151</v>
      </c>
      <c r="B148">
        <f>標準化權重!B148-每日權重!B148</f>
        <v>0</v>
      </c>
      <c r="C148" s="7">
        <f>標準化權重!C148-每日權重!C148</f>
        <v>1.3949421053471578E-3</v>
      </c>
      <c r="D148" s="7">
        <f>標準化權重!D148-每日權重!D148</f>
        <v>-2.1197995187254293E-3</v>
      </c>
      <c r="E148" s="7">
        <f>標準化權重!E148-每日權重!E148</f>
        <v>7.2485741337832699E-4</v>
      </c>
    </row>
    <row r="149" spans="1:5">
      <c r="A149" t="s">
        <v>152</v>
      </c>
      <c r="B149">
        <f>標準化權重!B149-每日權重!B149</f>
        <v>0</v>
      </c>
      <c r="C149" s="7">
        <f>標準化權重!C149-每日權重!C149</f>
        <v>1.3759520893802946E-3</v>
      </c>
      <c r="D149" s="7">
        <f>標準化權重!D149-每日權重!D149</f>
        <v>-2.0908800105978731E-3</v>
      </c>
      <c r="E149" s="7">
        <f>標準化權重!E149-每日權重!E149</f>
        <v>7.1492792121749527E-4</v>
      </c>
    </row>
    <row r="150" spans="1:5">
      <c r="A150" t="s">
        <v>153</v>
      </c>
      <c r="B150">
        <f>標準化權重!B150-每日權重!B150</f>
        <v>0</v>
      </c>
      <c r="C150" s="7">
        <f>標準化權重!C150-每日權重!C150</f>
        <v>1.3584500090286361E-3</v>
      </c>
      <c r="D150" s="7">
        <f>標準化權重!D150-每日權重!D150</f>
        <v>-2.0976615477663607E-3</v>
      </c>
      <c r="E150" s="7">
        <f>標準化權重!E150-每日權重!E150</f>
        <v>7.3921153873778012E-4</v>
      </c>
    </row>
    <row r="151" spans="1:5">
      <c r="A151" t="s">
        <v>154</v>
      </c>
      <c r="B151">
        <f>標準化權重!B151-每日權重!B151</f>
        <v>0</v>
      </c>
      <c r="C151" s="7">
        <f>標準化權重!C151-每日權重!C151</f>
        <v>1.3696283609789389E-3</v>
      </c>
      <c r="D151" s="7">
        <f>標準化權重!D151-每日權重!D151</f>
        <v>-2.1173592048745471E-3</v>
      </c>
      <c r="E151" s="7">
        <f>標準化權重!E151-每日權重!E151</f>
        <v>7.477308438957192E-4</v>
      </c>
    </row>
    <row r="152" spans="1:5">
      <c r="A152" t="s">
        <v>155</v>
      </c>
      <c r="B152">
        <f>標準化權重!B152-每日權重!B152</f>
        <v>0</v>
      </c>
      <c r="C152" s="7">
        <f>標準化權重!C152-每日權重!C152</f>
        <v>1.3672097873348443E-3</v>
      </c>
      <c r="D152" s="7">
        <f>標準化權重!D152-每日權重!D152</f>
        <v>-2.1127594954466478E-3</v>
      </c>
      <c r="E152" s="7">
        <f>標準化權重!E152-每日權重!E152</f>
        <v>7.4554970811177568E-4</v>
      </c>
    </row>
    <row r="153" spans="1:5">
      <c r="A153" t="s">
        <v>156</v>
      </c>
      <c r="B153">
        <f>標準化權重!B153-每日權重!B153</f>
        <v>0</v>
      </c>
      <c r="C153" s="7">
        <f>標準化權重!C153-每日權重!C153</f>
        <v>1.3677758866803974E-3</v>
      </c>
      <c r="D153" s="7">
        <f>標準化權重!D153-每日權重!D153</f>
        <v>-2.1077678887904128E-3</v>
      </c>
      <c r="E153" s="7">
        <f>標準化權重!E153-每日權重!E153</f>
        <v>7.3999200211015415E-4</v>
      </c>
    </row>
    <row r="154" spans="1:5">
      <c r="A154" t="s">
        <v>157</v>
      </c>
      <c r="B154">
        <f>標準化權重!B154-每日權重!B154</f>
        <v>0</v>
      </c>
      <c r="C154" s="7">
        <f>標準化權重!C154-每日權重!C154</f>
        <v>1.3488613189027721E-3</v>
      </c>
      <c r="D154" s="7">
        <f>標準化權重!D154-每日權重!D154</f>
        <v>-2.1011499409057111E-3</v>
      </c>
      <c r="E154" s="7">
        <f>標準化權重!E154-每日權重!E154</f>
        <v>7.5228862200298063E-4</v>
      </c>
    </row>
    <row r="155" spans="1:5">
      <c r="A155" t="s">
        <v>158</v>
      </c>
      <c r="B155">
        <f>標準化權重!B155-每日權重!B155</f>
        <v>0</v>
      </c>
      <c r="C155" s="7">
        <f>標準化權重!C155-每日權重!C155</f>
        <v>1.3546424073096752E-3</v>
      </c>
      <c r="D155" s="7">
        <f>標準化權重!D155-每日權重!D155</f>
        <v>-2.1049010906160071E-3</v>
      </c>
      <c r="E155" s="7">
        <f>標準化權重!E155-每日權重!E155</f>
        <v>7.5025868330624856E-4</v>
      </c>
    </row>
    <row r="156" spans="1:5">
      <c r="A156" t="s">
        <v>159</v>
      </c>
      <c r="B156">
        <f>標準化權重!B156-每日權重!B156</f>
        <v>0</v>
      </c>
      <c r="C156" s="7">
        <f>標準化權重!C156-每日權重!C156</f>
        <v>1.3673255802073986E-3</v>
      </c>
      <c r="D156" s="7">
        <f>標準化權重!D156-每日權重!D156</f>
        <v>-2.1100527334725339E-3</v>
      </c>
      <c r="E156" s="7">
        <f>標準化權重!E156-每日權重!E156</f>
        <v>7.4272715326520466E-4</v>
      </c>
    </row>
    <row r="157" spans="1:5">
      <c r="A157" t="s">
        <v>160</v>
      </c>
      <c r="B157">
        <f>標準化權重!B157-每日權重!B157</f>
        <v>0</v>
      </c>
      <c r="C157" s="7">
        <f>標準化權重!C157-每日權重!C157</f>
        <v>1.3668679635134573E-3</v>
      </c>
      <c r="D157" s="7">
        <f>標準化權重!D157-每日權重!D157</f>
        <v>-2.1123732842294185E-3</v>
      </c>
      <c r="E157" s="7">
        <f>標準化權重!E157-每日權重!E157</f>
        <v>7.4550532071589182E-4</v>
      </c>
    </row>
    <row r="158" spans="1:5">
      <c r="A158" t="s">
        <v>161</v>
      </c>
      <c r="B158">
        <f>標準化權重!B158-每日權重!B158</f>
        <v>0</v>
      </c>
      <c r="C158" s="7">
        <f>標準化權重!C158-每日權重!C158</f>
        <v>1.3764279108785527E-3</v>
      </c>
      <c r="D158" s="7">
        <f>標準化權重!D158-每日權重!D158</f>
        <v>-2.1011772992138855E-3</v>
      </c>
      <c r="E158" s="7">
        <f>標準化權重!E158-每日權重!E158</f>
        <v>7.2474938833513858E-4</v>
      </c>
    </row>
    <row r="159" spans="1:5">
      <c r="A159" t="s">
        <v>162</v>
      </c>
      <c r="B159">
        <f>標準化權重!B159-每日權重!B159</f>
        <v>0</v>
      </c>
      <c r="C159" s="7">
        <f>標準化權重!C159-每日權重!C159</f>
        <v>1.3856683845542561E-3</v>
      </c>
      <c r="D159" s="7">
        <f>標準化權重!D159-每日權重!D159</f>
        <v>-2.1485129138867354E-3</v>
      </c>
      <c r="E159" s="7">
        <f>標準化權重!E159-每日權重!E159</f>
        <v>7.6284452933254865E-4</v>
      </c>
    </row>
    <row r="160" spans="1:5">
      <c r="A160" t="s">
        <v>163</v>
      </c>
      <c r="B160">
        <f>標準化權重!B160-每日權重!B160</f>
        <v>0</v>
      </c>
      <c r="C160" s="7">
        <f>標準化權重!C160-每日權重!C160</f>
        <v>1.3859009857386251E-3</v>
      </c>
      <c r="D160" s="7">
        <f>標準化權重!D160-每日權重!D160</f>
        <v>-2.1429242891010114E-3</v>
      </c>
      <c r="E160" s="7">
        <f>標準化權重!E160-每日權重!E160</f>
        <v>7.5702330336238632E-4</v>
      </c>
    </row>
    <row r="161" spans="1:5">
      <c r="A161" t="s">
        <v>164</v>
      </c>
      <c r="B161">
        <f>標準化權重!B161-每日權重!B161</f>
        <v>0</v>
      </c>
      <c r="C161" s="7">
        <f>標準化權重!C161-每日權重!C161</f>
        <v>1.3743451904508347E-3</v>
      </c>
      <c r="D161" s="7">
        <f>標準化權重!D161-每日權重!D161</f>
        <v>-2.1225891261127394E-3</v>
      </c>
      <c r="E161" s="7">
        <f>標準化權重!E161-每日權重!E161</f>
        <v>7.482439356617937E-4</v>
      </c>
    </row>
    <row r="162" spans="1:5">
      <c r="A162" t="s">
        <v>165</v>
      </c>
      <c r="B162">
        <f>標準化權重!B162-每日權重!B162</f>
        <v>0</v>
      </c>
      <c r="C162" s="7">
        <f>標準化權重!C162-每日權重!C162</f>
        <v>1.3957665549794301E-3</v>
      </c>
      <c r="D162" s="7">
        <f>標準化權重!D162-每日權重!D162</f>
        <v>-2.1438429852798091E-3</v>
      </c>
      <c r="E162" s="7">
        <f>標準化權重!E162-每日權重!E162</f>
        <v>7.4807643030043447E-4</v>
      </c>
    </row>
    <row r="163" spans="1:5">
      <c r="A163" t="s">
        <v>166</v>
      </c>
      <c r="B163">
        <f>標準化權重!B163-每日權重!B163</f>
        <v>0</v>
      </c>
      <c r="C163" s="7">
        <f>標準化權重!C163-每日權重!C163</f>
        <v>1.4280500564003012E-3</v>
      </c>
      <c r="D163" s="7">
        <f>標準化權重!D163-每日權重!D163</f>
        <v>-2.1614923702112376E-3</v>
      </c>
      <c r="E163" s="7">
        <f>標準化權重!E163-每日權重!E163</f>
        <v>7.334423138109919E-4</v>
      </c>
    </row>
    <row r="164" spans="1:5">
      <c r="A164" t="s">
        <v>167</v>
      </c>
      <c r="B164">
        <f>標準化權重!B164-每日權重!B164</f>
        <v>0</v>
      </c>
      <c r="C164" s="7">
        <f>標準化權重!C164-每日權重!C164</f>
        <v>1.3875128291472028E-3</v>
      </c>
      <c r="D164" s="7">
        <f>標準化權重!D164-每日權重!D164</f>
        <v>-2.1037994532003834E-3</v>
      </c>
      <c r="E164" s="7">
        <f>標準化權重!E164-每日權重!E164</f>
        <v>7.1628662405341659E-4</v>
      </c>
    </row>
    <row r="165" spans="1:5">
      <c r="A165" t="s">
        <v>168</v>
      </c>
      <c r="B165">
        <f>標準化權重!B165-每日權重!B165</f>
        <v>0</v>
      </c>
      <c r="C165" s="7">
        <f>標準化權重!C165-每日權重!C165</f>
        <v>1.3751762687967267E-3</v>
      </c>
      <c r="D165" s="7">
        <f>標準化權重!D165-每日權重!D165</f>
        <v>-2.1013044372527601E-3</v>
      </c>
      <c r="E165" s="7">
        <f>標準化權重!E165-每日權重!E165</f>
        <v>7.2612816845615824E-4</v>
      </c>
    </row>
    <row r="166" spans="1:5">
      <c r="A166" t="s">
        <v>169</v>
      </c>
      <c r="B166">
        <f>標準化權重!B166-每日權重!B166</f>
        <v>0</v>
      </c>
      <c r="C166" s="7">
        <f>標準化權重!C166-每日權重!C166</f>
        <v>1.3717732911728842E-3</v>
      </c>
      <c r="D166" s="7">
        <f>標準化權重!D166-每日權重!D166</f>
        <v>-2.0893883178382255E-3</v>
      </c>
      <c r="E166" s="7">
        <f>標準化權重!E166-每日權重!E166</f>
        <v>7.1761502666533444E-4</v>
      </c>
    </row>
    <row r="167" spans="1:5">
      <c r="A167" t="s">
        <v>170</v>
      </c>
      <c r="B167">
        <f>標準化權重!B167-每日權重!B167</f>
        <v>0</v>
      </c>
      <c r="C167" s="7">
        <f>標準化權重!C167-每日權重!C167</f>
        <v>1.3432415520008012E-3</v>
      </c>
      <c r="D167" s="7">
        <f>標準化權重!D167-每日權重!D167</f>
        <v>-2.0749225722206388E-3</v>
      </c>
      <c r="E167" s="7">
        <f>標準化權重!E167-每日權重!E167</f>
        <v>7.3168102021972659E-4</v>
      </c>
    </row>
    <row r="168" spans="1:5">
      <c r="A168" t="s">
        <v>171</v>
      </c>
      <c r="B168">
        <f>標準化權重!B168-每日權重!B168</f>
        <v>0</v>
      </c>
      <c r="C168" s="7">
        <f>標準化權重!C168-每日權重!C168</f>
        <v>1.3524002494806758E-3</v>
      </c>
      <c r="D168" s="7">
        <f>標準化權重!D168-每日權重!D168</f>
        <v>-2.0739334324886283E-3</v>
      </c>
      <c r="E168" s="7">
        <f>標準化權重!E168-每日權重!E168</f>
        <v>7.2153318300810509E-4</v>
      </c>
    </row>
    <row r="169" spans="1:5">
      <c r="A169" t="s">
        <v>172</v>
      </c>
      <c r="B169">
        <f>標準化權重!B169-每日權重!B169</f>
        <v>0</v>
      </c>
      <c r="C169" s="7">
        <f>標準化權重!C169-每日權重!C169</f>
        <v>1.0487575025544676E-3</v>
      </c>
      <c r="D169" s="7">
        <f>標準化權重!D169-每日權重!D169</f>
        <v>-1.5417809102785673E-3</v>
      </c>
      <c r="E169" s="7">
        <f>標準化權重!E169-每日權重!E169</f>
        <v>4.9302340772400949E-4</v>
      </c>
    </row>
    <row r="170" spans="1:5">
      <c r="A170" t="s">
        <v>173</v>
      </c>
      <c r="B170">
        <f>標準化權重!B170-每日權重!B170</f>
        <v>0</v>
      </c>
      <c r="C170" s="7">
        <f>標準化權重!C170-每日權重!C170</f>
        <v>1.038538749626533E-3</v>
      </c>
      <c r="D170" s="7">
        <f>標準化權重!D170-每日權重!D170</f>
        <v>-1.5188481961316835E-3</v>
      </c>
      <c r="E170" s="7">
        <f>標準化權重!E170-每日權重!E170</f>
        <v>4.8030944650508806E-4</v>
      </c>
    </row>
    <row r="171" spans="1:5">
      <c r="A171" t="s">
        <v>174</v>
      </c>
      <c r="B171">
        <f>標準化權重!B171-每日權重!B171</f>
        <v>0</v>
      </c>
      <c r="C171" s="7">
        <f>標準化權重!C171-每日權重!C171</f>
        <v>1.0624729689955592E-3</v>
      </c>
      <c r="D171" s="7">
        <f>標準化權重!D171-每日權重!D171</f>
        <v>-1.5417156411274835E-3</v>
      </c>
      <c r="E171" s="7">
        <f>標準化權重!E171-每日權重!E171</f>
        <v>4.7924267213193816E-4</v>
      </c>
    </row>
    <row r="172" spans="1:5">
      <c r="A172" t="s">
        <v>175</v>
      </c>
      <c r="B172">
        <f>標準化權重!B172-每日權重!B172</f>
        <v>0</v>
      </c>
      <c r="C172" s="7">
        <f>標準化權重!C172-每日權重!C172</f>
        <v>1.0353555367809686E-3</v>
      </c>
      <c r="D172" s="7">
        <f>標準化權重!D172-每日權重!D172</f>
        <v>-1.5113179143438904E-3</v>
      </c>
      <c r="E172" s="7">
        <f>標準化權重!E172-每日權重!E172</f>
        <v>4.759623775627414E-4</v>
      </c>
    </row>
    <row r="173" spans="1:5">
      <c r="A173" t="s">
        <v>176</v>
      </c>
      <c r="B173">
        <f>標準化權重!B173-每日權重!B173</f>
        <v>0</v>
      </c>
      <c r="C173" s="7">
        <f>標準化權重!C173-每日權重!C173</f>
        <v>1.031093906581293E-3</v>
      </c>
      <c r="D173" s="7">
        <f>標準化權重!D173-每日權重!D173</f>
        <v>-1.5049185570348289E-3</v>
      </c>
      <c r="E173" s="7">
        <f>標準化權重!E173-每日權重!E173</f>
        <v>4.7382465045339717E-4</v>
      </c>
    </row>
    <row r="174" spans="1:5">
      <c r="A174" t="s">
        <v>177</v>
      </c>
      <c r="B174">
        <f>標準化權重!B174-每日權重!B174</f>
        <v>0</v>
      </c>
      <c r="C174" s="7">
        <f>標準化權重!C174-每日權重!C174</f>
        <v>1.0229045222979738E-3</v>
      </c>
      <c r="D174" s="7">
        <f>標準化權重!D174-每日權重!D174</f>
        <v>-1.4940511410557189E-3</v>
      </c>
      <c r="E174" s="7">
        <f>標準化權重!E174-每日權重!E174</f>
        <v>4.7114661875784919E-4</v>
      </c>
    </row>
    <row r="175" spans="1:5">
      <c r="A175" t="s">
        <v>178</v>
      </c>
      <c r="B175">
        <f>標準化權重!B175-每日權重!B175</f>
        <v>0</v>
      </c>
      <c r="C175" s="7">
        <f>標準化權重!C175-每日權重!C175</f>
        <v>1.0324241444963356E-3</v>
      </c>
      <c r="D175" s="7">
        <f>標準化權重!D175-每日權重!D175</f>
        <v>-1.5079272108781128E-3</v>
      </c>
      <c r="E175" s="7">
        <f>標準化權重!E175-每日權重!E175</f>
        <v>4.7550306638164536E-4</v>
      </c>
    </row>
    <row r="176" spans="1:5">
      <c r="A176" t="s">
        <v>179</v>
      </c>
      <c r="B176">
        <f>標準化權重!B176-每日權重!B176</f>
        <v>0</v>
      </c>
      <c r="C176" s="7">
        <f>標準化權重!C176-每日權重!C176</f>
        <v>1.0345164222294312E-3</v>
      </c>
      <c r="D176" s="7">
        <f>標準化權重!D176-每日權重!D176</f>
        <v>-1.5231467202020399E-3</v>
      </c>
      <c r="E176" s="7">
        <f>標準化權重!E176-每日權重!E176</f>
        <v>4.8863029797262258E-4</v>
      </c>
    </row>
    <row r="177" spans="1:5">
      <c r="A177" t="s">
        <v>180</v>
      </c>
      <c r="B177">
        <f>標準化權重!B177-每日權重!B177</f>
        <v>0</v>
      </c>
      <c r="C177" s="7">
        <f>標準化權重!C177-每日權重!C177</f>
        <v>1.0437699509883436E-3</v>
      </c>
      <c r="D177" s="7">
        <f>標準化權重!D177-每日權重!D177</f>
        <v>-1.5340623320245772E-3</v>
      </c>
      <c r="E177" s="7">
        <f>標準化權重!E177-每日權重!E177</f>
        <v>4.902923810361226E-4</v>
      </c>
    </row>
    <row r="178" spans="1:5">
      <c r="A178" t="s">
        <v>181</v>
      </c>
      <c r="B178">
        <f>標準化權重!B178-每日權重!B178</f>
        <v>0</v>
      </c>
      <c r="C178" s="7">
        <f>標準化權重!C178-每日權重!C178</f>
        <v>1.0369730349998885E-3</v>
      </c>
      <c r="D178" s="7">
        <f>標準化權重!D178-每日權重!D178</f>
        <v>-1.5391144799263845E-3</v>
      </c>
      <c r="E178" s="7">
        <f>標準化權重!E178-每日權重!E178</f>
        <v>5.0214144492655155E-4</v>
      </c>
    </row>
    <row r="179" spans="1:5">
      <c r="A179" t="s">
        <v>182</v>
      </c>
      <c r="B179">
        <f>標準化權重!B179-每日權重!B179</f>
        <v>0</v>
      </c>
      <c r="C179" s="7">
        <f>標準化權重!C179-每日權重!C179</f>
        <v>1.0559726302251937E-3</v>
      </c>
      <c r="D179" s="7">
        <f>標準化權重!D179-每日權重!D179</f>
        <v>-1.5586772376738889E-3</v>
      </c>
      <c r="E179" s="7">
        <f>標準化權重!E179-每日權重!E179</f>
        <v>5.0270460744875067E-4</v>
      </c>
    </row>
    <row r="180" spans="1:5">
      <c r="A180" t="s">
        <v>183</v>
      </c>
      <c r="B180">
        <f>標準化權重!B180-每日權重!B180</f>
        <v>0</v>
      </c>
      <c r="C180" s="7">
        <f>標準化權重!C180-每日權重!C180</f>
        <v>1.0812960772391272E-3</v>
      </c>
      <c r="D180" s="7">
        <f>標準化權重!D180-每日權重!D180</f>
        <v>-1.569969377743341E-3</v>
      </c>
      <c r="E180" s="7">
        <f>標準化權重!E180-每日權重!E180</f>
        <v>4.8867330050408886E-4</v>
      </c>
    </row>
    <row r="181" spans="1:5">
      <c r="A181" t="s">
        <v>184</v>
      </c>
      <c r="B181">
        <f>標準化權重!B181-每日權重!B181</f>
        <v>0</v>
      </c>
      <c r="C181" s="7">
        <f>標準化權重!C181-每日權重!C181</f>
        <v>1.0636514951660736E-3</v>
      </c>
      <c r="D181" s="7">
        <f>標準化權重!D181-每日權重!D181</f>
        <v>-1.560282555065684E-3</v>
      </c>
      <c r="E181" s="7">
        <f>標準化權重!E181-每日權重!E181</f>
        <v>4.9663105989952716E-4</v>
      </c>
    </row>
    <row r="182" spans="1:5">
      <c r="A182" t="s">
        <v>185</v>
      </c>
      <c r="B182">
        <f>標準化權重!B182-每日權重!B182</f>
        <v>0</v>
      </c>
      <c r="C182" s="7">
        <f>標準化權重!C182-每日權重!C182</f>
        <v>1.090445609397736E-3</v>
      </c>
      <c r="D182" s="7">
        <f>標準化權重!D182-每日權重!D182</f>
        <v>-1.5884206358459663E-3</v>
      </c>
      <c r="E182" s="7">
        <f>標準化權重!E182-每日權重!E182</f>
        <v>4.979750264481192E-4</v>
      </c>
    </row>
    <row r="183" spans="1:5">
      <c r="A183" t="s">
        <v>186</v>
      </c>
      <c r="B183">
        <f>標準化權重!B183-每日權重!B183</f>
        <v>0</v>
      </c>
      <c r="C183" s="7">
        <f>標準化權重!C183-每日權重!C183</f>
        <v>1.0825465646573801E-3</v>
      </c>
      <c r="D183" s="7">
        <f>標準化權重!D183-每日權重!D183</f>
        <v>-1.5764421349515612E-3</v>
      </c>
      <c r="E183" s="7">
        <f>標準化權重!E183-每日權重!E183</f>
        <v>4.9389557029430597E-4</v>
      </c>
    </row>
    <row r="184" spans="1:5">
      <c r="A184" t="s">
        <v>187</v>
      </c>
      <c r="B184">
        <f>標準化權重!B184-每日權重!B184</f>
        <v>0</v>
      </c>
      <c r="C184" s="7">
        <f>標準化權重!C184-每日權重!C184</f>
        <v>1.0650844866275377E-3</v>
      </c>
      <c r="D184" s="7">
        <f>標準化權重!D184-每日權重!D184</f>
        <v>-1.5507042555049644E-3</v>
      </c>
      <c r="E184" s="7">
        <f>標準化權重!E184-每日權重!E184</f>
        <v>4.8561976887739888E-4</v>
      </c>
    </row>
    <row r="185" spans="1:5">
      <c r="A185" t="s">
        <v>188</v>
      </c>
      <c r="B185">
        <f>標準化權重!B185-每日權重!B185</f>
        <v>0</v>
      </c>
      <c r="C185" s="7">
        <f>標準化權重!C185-每日權重!C185</f>
        <v>1.078183885304812E-3</v>
      </c>
      <c r="D185" s="7">
        <f>標準化權重!D185-每日權重!D185</f>
        <v>-1.5648088957153083E-3</v>
      </c>
      <c r="E185" s="7">
        <f>標準化權重!E185-每日權重!E185</f>
        <v>4.8662501041057959E-4</v>
      </c>
    </row>
    <row r="186" spans="1:5">
      <c r="A186" t="s">
        <v>189</v>
      </c>
      <c r="B186">
        <f>標準化權重!B186-每日權重!B186</f>
        <v>0</v>
      </c>
      <c r="C186" s="7">
        <f>標準化權重!C186-每日權重!C186</f>
        <v>1.0591555275664688E-3</v>
      </c>
      <c r="D186" s="7">
        <f>標準化權重!D186-每日權重!D186</f>
        <v>-1.5560682938766668E-3</v>
      </c>
      <c r="E186" s="7">
        <f>標準化權重!E186-每日權重!E186</f>
        <v>4.9691276631019798E-4</v>
      </c>
    </row>
    <row r="187" spans="1:5">
      <c r="A187" t="s">
        <v>190</v>
      </c>
      <c r="B187">
        <f>標準化權重!B187-每日權重!B187</f>
        <v>0</v>
      </c>
      <c r="C187" s="7">
        <f>標準化權重!C187-每日權重!C187</f>
        <v>1.0556136861705756E-3</v>
      </c>
      <c r="D187" s="7">
        <f>標準化權重!D187-每日權重!D187</f>
        <v>-1.5497303637326265E-3</v>
      </c>
      <c r="E187" s="7">
        <f>標準化權重!E187-每日權重!E187</f>
        <v>4.941166775619954E-4</v>
      </c>
    </row>
    <row r="188" spans="1:5">
      <c r="A188" t="s">
        <v>191</v>
      </c>
      <c r="B188">
        <f>標準化權重!B188-每日權重!B188</f>
        <v>0</v>
      </c>
      <c r="C188" s="7">
        <f>標準化權重!C188-每日權重!C188</f>
        <v>1.0712077156153632E-3</v>
      </c>
      <c r="D188" s="7">
        <f>標準化權重!D188-每日權重!D188</f>
        <v>-1.5567832355311007E-3</v>
      </c>
      <c r="E188" s="7">
        <f>標準化權重!E188-每日權重!E188</f>
        <v>4.8557551991569581E-4</v>
      </c>
    </row>
    <row r="189" spans="1:5">
      <c r="A189" t="s">
        <v>192</v>
      </c>
      <c r="B189">
        <f>標準化權重!B189-每日權重!B189</f>
        <v>0</v>
      </c>
      <c r="C189" s="7">
        <f>標準化權重!C189-每日權重!C189</f>
        <v>1.0831146516326606E-3</v>
      </c>
      <c r="D189" s="7">
        <f>標準化權重!D189-每日權重!D189</f>
        <v>-1.5689643771255035E-3</v>
      </c>
      <c r="E189" s="7">
        <f>標準化權重!E189-每日權重!E189</f>
        <v>4.8584972549275962E-4</v>
      </c>
    </row>
    <row r="190" spans="1:5">
      <c r="A190" t="s">
        <v>193</v>
      </c>
      <c r="B190">
        <f>標準化權重!B190-每日權重!B190</f>
        <v>0</v>
      </c>
      <c r="C190" s="7">
        <f>標準化權重!C190-每日權重!C190</f>
        <v>1.1058921554636669E-3</v>
      </c>
      <c r="D190" s="7">
        <f>標準化權重!D190-每日權重!D190</f>
        <v>-1.5928759588665908E-3</v>
      </c>
      <c r="E190" s="7">
        <f>標準化權重!E190-每日權重!E190</f>
        <v>4.8698380340297248E-4</v>
      </c>
    </row>
    <row r="191" spans="1:5">
      <c r="A191" t="s">
        <v>194</v>
      </c>
      <c r="B191">
        <f>標準化權重!B191-每日權重!B191</f>
        <v>0</v>
      </c>
      <c r="C191" s="7">
        <f>標準化權重!C191-每日權重!C191</f>
        <v>1.0621523194666027E-3</v>
      </c>
      <c r="D191" s="7">
        <f>標準化權重!D191-每日權重!D191</f>
        <v>-1.544687399247513E-3</v>
      </c>
      <c r="E191" s="7">
        <f>標準化權重!E191-每日權重!E191</f>
        <v>4.8253507978094495E-4</v>
      </c>
    </row>
    <row r="192" spans="1:5">
      <c r="A192" t="s">
        <v>195</v>
      </c>
      <c r="B192">
        <f>標準化權重!B192-每日權重!B192</f>
        <v>0</v>
      </c>
      <c r="C192" s="7">
        <f>標準化權重!C192-每日權重!C192</f>
        <v>1.0706511949566677E-3</v>
      </c>
      <c r="D192" s="7">
        <f>標準化權重!D192-每日權重!D192</f>
        <v>-1.5599729257486095E-3</v>
      </c>
      <c r="E192" s="7">
        <f>標準化權重!E192-每日權重!E192</f>
        <v>4.8932173079214297E-4</v>
      </c>
    </row>
    <row r="193" spans="1:5">
      <c r="A193" t="s">
        <v>196</v>
      </c>
      <c r="B193">
        <f>標準化權重!B193-每日權重!B193</f>
        <v>0</v>
      </c>
      <c r="C193" s="7">
        <f>標準化權重!C193-每日權重!C193</f>
        <v>1.1026799389643738E-3</v>
      </c>
      <c r="D193" s="7">
        <f>標準化權重!D193-每日權重!D193</f>
        <v>-1.5856103920496301E-3</v>
      </c>
      <c r="E193" s="7">
        <f>標準化權重!E193-每日權重!E193</f>
        <v>4.8293045308513832E-4</v>
      </c>
    </row>
    <row r="194" spans="1:5">
      <c r="A194" t="s">
        <v>197</v>
      </c>
      <c r="B194">
        <f>標準化權重!B194-每日權重!B194</f>
        <v>0</v>
      </c>
      <c r="C194" s="7">
        <f>標準化權重!C194-每日權重!C194</f>
        <v>1.1168235310155539E-3</v>
      </c>
      <c r="D194" s="7">
        <f>標準化權重!D194-每日權重!D194</f>
        <v>-1.6006162266110069E-3</v>
      </c>
      <c r="E194" s="7">
        <f>標準化權重!E194-每日權重!E194</f>
        <v>4.8379269559551547E-4</v>
      </c>
    </row>
    <row r="195" spans="1:5">
      <c r="A195" t="s">
        <v>198</v>
      </c>
      <c r="B195">
        <f>標準化權重!B195-每日權重!B195</f>
        <v>0</v>
      </c>
      <c r="C195" s="7">
        <f>標準化權重!C195-每日權重!C195</f>
        <v>1.1003275669441703E-3</v>
      </c>
      <c r="D195" s="7">
        <f>標準化權重!D195-每日權重!D195</f>
        <v>-1.57663996470081E-3</v>
      </c>
      <c r="E195" s="7">
        <f>標準化權重!E195-每日權重!E195</f>
        <v>4.7631239775668133E-4</v>
      </c>
    </row>
    <row r="196" spans="1:5">
      <c r="A196" t="s">
        <v>199</v>
      </c>
      <c r="B196">
        <f>標準化權重!B196-每日權重!B196</f>
        <v>0</v>
      </c>
      <c r="C196" s="7">
        <f>標準化權重!C196-每日權重!C196</f>
        <v>1.1117683338536521E-3</v>
      </c>
      <c r="D196" s="7">
        <f>標準化權重!D196-每日權重!D196</f>
        <v>-1.5989722655030958E-3</v>
      </c>
      <c r="E196" s="7">
        <f>標準化權重!E196-每日權重!E196</f>
        <v>4.8720393164938119E-4</v>
      </c>
    </row>
    <row r="197" spans="1:5">
      <c r="A197" t="s">
        <v>200</v>
      </c>
      <c r="B197">
        <f>標準化權重!B197-每日權重!B197</f>
        <v>0</v>
      </c>
      <c r="C197" s="7">
        <f>標準化權重!C197-每日權重!C197</f>
        <v>1.1170744486288242E-3</v>
      </c>
      <c r="D197" s="7">
        <f>標準化權重!D197-每日權重!D197</f>
        <v>-1.6157806273365827E-3</v>
      </c>
      <c r="E197" s="7">
        <f>標準化權重!E197-每日權重!E197</f>
        <v>4.9870617870781397E-4</v>
      </c>
    </row>
    <row r="198" spans="1:5">
      <c r="A198" t="s">
        <v>201</v>
      </c>
      <c r="B198">
        <f>標準化權重!B198-每日權重!B198</f>
        <v>0</v>
      </c>
      <c r="C198" s="7">
        <f>標準化權重!C198-每日權重!C198</f>
        <v>1.1042000981832112E-3</v>
      </c>
      <c r="D198" s="7">
        <f>標準化權重!D198-每日權重!D198</f>
        <v>-1.5974442966272262E-3</v>
      </c>
      <c r="E198" s="7">
        <f>標準化權重!E198-每日權重!E198</f>
        <v>4.9324419844402889E-4</v>
      </c>
    </row>
    <row r="199" spans="1:5">
      <c r="A199" t="s">
        <v>202</v>
      </c>
      <c r="B199">
        <f>標準化權重!B199-每日權重!B199</f>
        <v>0</v>
      </c>
      <c r="C199" s="7">
        <f>標準化權重!C199-每日權重!C199</f>
        <v>1.1214076706592552E-3</v>
      </c>
      <c r="D199" s="7">
        <f>標準化權重!D199-每日權重!D199</f>
        <v>-1.613276731126434E-3</v>
      </c>
      <c r="E199" s="7">
        <f>標準化權重!E199-每日權重!E199</f>
        <v>4.918690604670678E-4</v>
      </c>
    </row>
    <row r="200" spans="1:5">
      <c r="A200" t="s">
        <v>203</v>
      </c>
      <c r="B200">
        <f>標準化權重!B200-每日權重!B200</f>
        <v>0</v>
      </c>
      <c r="C200" s="7">
        <f>標準化權重!C200-每日權重!C200</f>
        <v>1.1100701028911031E-3</v>
      </c>
      <c r="D200" s="7">
        <f>標準化權重!D200-每日權重!D200</f>
        <v>-1.6054070231852346E-3</v>
      </c>
      <c r="E200" s="7">
        <f>標準化權重!E200-每日權重!E200</f>
        <v>4.9533692029410381E-4</v>
      </c>
    </row>
    <row r="201" spans="1:5">
      <c r="A201" t="s">
        <v>204</v>
      </c>
      <c r="B201">
        <f>標準化權重!B201-每日權重!B201</f>
        <v>0</v>
      </c>
      <c r="C201" s="7">
        <f>標準化權重!C201-每日權重!C201</f>
        <v>1.1239927310213033E-3</v>
      </c>
      <c r="D201" s="7">
        <f>標準化權重!D201-每日權重!D201</f>
        <v>-1.6131360759537028E-3</v>
      </c>
      <c r="E201" s="7">
        <f>標準化權重!E201-每日權重!E201</f>
        <v>4.8914334493235789E-4</v>
      </c>
    </row>
    <row r="202" spans="1:5">
      <c r="A202" t="s">
        <v>205</v>
      </c>
      <c r="B202">
        <f>標準化權重!B202-每日權重!B202</f>
        <v>0</v>
      </c>
      <c r="C202" s="7">
        <f>標準化權重!C202-每日權重!C202</f>
        <v>1.1167847346558318E-3</v>
      </c>
      <c r="D202" s="7">
        <f>標準化權重!D202-每日權重!D202</f>
        <v>-1.6013022868693882E-3</v>
      </c>
      <c r="E202" s="7">
        <f>標準化權重!E202-每日權重!E202</f>
        <v>4.8451755221352866E-4</v>
      </c>
    </row>
    <row r="203" spans="1:5">
      <c r="A203" t="s">
        <v>206</v>
      </c>
      <c r="B203">
        <f>標準化權重!B203-每日權重!B203</f>
        <v>0</v>
      </c>
      <c r="C203" s="7">
        <f>標準化權重!C203-每日權重!C203</f>
        <v>1.105807523137034E-3</v>
      </c>
      <c r="D203" s="7">
        <f>標準化權重!D203-每日權重!D203</f>
        <v>-1.5925502885038023E-3</v>
      </c>
      <c r="E203" s="7">
        <f>標準化權重!E203-每日權重!E203</f>
        <v>4.8674276536668504E-4</v>
      </c>
    </row>
    <row r="204" spans="1:5">
      <c r="A204" t="s">
        <v>207</v>
      </c>
      <c r="B204">
        <f>標準化權重!B204-每日權重!B204</f>
        <v>0</v>
      </c>
      <c r="C204" s="7">
        <f>標準化權重!C204-每日權重!C204</f>
        <v>1.1168426559472339E-3</v>
      </c>
      <c r="D204" s="7">
        <f>標準化權重!D204-每日權重!D204</f>
        <v>-1.6002778829444786E-3</v>
      </c>
      <c r="E204" s="7">
        <f>標準化權重!E204-每日權重!E204</f>
        <v>4.834352269972933E-4</v>
      </c>
    </row>
    <row r="205" spans="1:5">
      <c r="A205" t="s">
        <v>208</v>
      </c>
      <c r="B205">
        <f>標準化權重!B205-每日權重!B205</f>
        <v>0</v>
      </c>
      <c r="C205" s="7">
        <f>標準化權重!C205-每日權重!C205</f>
        <v>1.1046475382780752E-3</v>
      </c>
      <c r="D205" s="7">
        <f>標準化權重!D205-每日權重!D205</f>
        <v>-1.5723725550825796E-3</v>
      </c>
      <c r="E205" s="7">
        <f>標準化權重!E205-每日權重!E205</f>
        <v>4.677250168046293E-4</v>
      </c>
    </row>
    <row r="206" spans="1:5">
      <c r="A206" t="s">
        <v>209</v>
      </c>
      <c r="B206">
        <f>標準化權重!B206-每日權重!B206</f>
        <v>0</v>
      </c>
      <c r="C206" s="7">
        <f>標準化權重!C206-每日權重!C206</f>
        <v>1.1153437389006537E-3</v>
      </c>
      <c r="D206" s="7">
        <f>標準化權重!D206-每日權重!D206</f>
        <v>-1.5882907474598085E-3</v>
      </c>
      <c r="E206" s="7">
        <f>標準化權重!E206-每日權重!E206</f>
        <v>4.7294700855911309E-4</v>
      </c>
    </row>
    <row r="207" spans="1:5">
      <c r="A207" t="s">
        <v>210</v>
      </c>
      <c r="B207">
        <f>標準化權重!B207-每日權重!B207</f>
        <v>0</v>
      </c>
      <c r="C207" s="7">
        <f>標準化權重!C207-每日權重!C207</f>
        <v>1.1189930426485917E-3</v>
      </c>
      <c r="D207" s="7">
        <f>標準化權重!D207-每日權重!D207</f>
        <v>-1.5952671071960411E-3</v>
      </c>
      <c r="E207" s="7">
        <f>標準化權重!E207-每日權重!E207</f>
        <v>4.7627406454744947E-4</v>
      </c>
    </row>
    <row r="208" spans="1:5">
      <c r="A208" t="s">
        <v>211</v>
      </c>
      <c r="B208">
        <f>標準化權重!B208-每日權重!B208</f>
        <v>0</v>
      </c>
      <c r="C208" s="7">
        <f>標準化權重!C208-每日權重!C208</f>
        <v>1.1336201631508142E-3</v>
      </c>
      <c r="D208" s="7">
        <f>標準化權重!D208-每日權重!D208</f>
        <v>-1.6107059328734907E-3</v>
      </c>
      <c r="E208" s="7">
        <f>標準化權重!E208-每日權重!E208</f>
        <v>4.7708576972268352E-4</v>
      </c>
    </row>
    <row r="209" spans="1:5">
      <c r="A209" t="s">
        <v>212</v>
      </c>
      <c r="B209">
        <f>標準化權重!B209-每日權重!B209</f>
        <v>0</v>
      </c>
      <c r="C209" s="7">
        <f>標準化權重!C209-每日權重!C209</f>
        <v>1.1224790252898076E-3</v>
      </c>
      <c r="D209" s="7">
        <f>標準化權重!D209-每日權重!D209</f>
        <v>-1.5944548082489352E-3</v>
      </c>
      <c r="E209" s="7">
        <f>標準化權重!E209-每日權重!E209</f>
        <v>4.719757829591692E-4</v>
      </c>
    </row>
    <row r="210" spans="1:5">
      <c r="A210" t="s">
        <v>213</v>
      </c>
      <c r="B210">
        <f>標準化權重!B210-每日權重!B210</f>
        <v>0</v>
      </c>
      <c r="C210" s="7">
        <f>標準化權重!C210-每日權重!C210</f>
        <v>1.0998098126681621E-3</v>
      </c>
      <c r="D210" s="7">
        <f>標準化權重!D210-每日權重!D210</f>
        <v>-1.5859329303439251E-3</v>
      </c>
      <c r="E210" s="7">
        <f>標準化權重!E210-每日權重!E210</f>
        <v>4.8612311767568667E-4</v>
      </c>
    </row>
    <row r="211" spans="1:5">
      <c r="A211" t="s">
        <v>214</v>
      </c>
      <c r="B211">
        <f>標準化權重!B211-每日權重!B211</f>
        <v>0</v>
      </c>
      <c r="C211" s="7">
        <f>標準化權重!C211-每日權重!C211</f>
        <v>1.090355373516011E-3</v>
      </c>
      <c r="D211" s="7">
        <f>標準化權重!D211-每日權重!D211</f>
        <v>-1.5718209758061041E-3</v>
      </c>
      <c r="E211" s="7">
        <f>標準化權重!E211-每日權重!E211</f>
        <v>4.8146560229003071E-4</v>
      </c>
    </row>
    <row r="212" spans="1:5">
      <c r="A212" t="s">
        <v>215</v>
      </c>
      <c r="B212">
        <f>標準化權重!B212-每日權重!B212</f>
        <v>0</v>
      </c>
      <c r="C212" s="7">
        <f>標準化權重!C212-每日權重!C212</f>
        <v>1.0794524902916769E-3</v>
      </c>
      <c r="D212" s="7">
        <f>標準化權重!D212-每日權重!D212</f>
        <v>-1.5709775167614959E-3</v>
      </c>
      <c r="E212" s="7">
        <f>標準化權重!E212-每日權重!E212</f>
        <v>4.9152502646976348E-4</v>
      </c>
    </row>
    <row r="213" spans="1:5">
      <c r="A213" t="s">
        <v>216</v>
      </c>
      <c r="B213">
        <f>標準化權重!B213-每日權重!B213</f>
        <v>0</v>
      </c>
      <c r="C213" s="7">
        <f>標準化權重!C213-每日權重!C213</f>
        <v>1.1026615856181282E-3</v>
      </c>
      <c r="D213" s="7">
        <f>標準化權重!D213-每日權重!D213</f>
        <v>-1.5940667617115878E-3</v>
      </c>
      <c r="E213" s="7">
        <f>標準化權重!E213-每日權重!E213</f>
        <v>4.9140517609347345E-4</v>
      </c>
    </row>
    <row r="214" spans="1:5">
      <c r="A214" t="s">
        <v>217</v>
      </c>
      <c r="B214">
        <f>標準化權重!B214-每日權重!B214</f>
        <v>0</v>
      </c>
      <c r="C214" s="7">
        <f>標準化權重!C214-每日權重!C214</f>
        <v>1.0997178660259732E-3</v>
      </c>
      <c r="D214" s="7">
        <f>標準化權重!D214-每日權重!D214</f>
        <v>-1.594354477947868E-3</v>
      </c>
      <c r="E214" s="7">
        <f>標準化權重!E214-每日權重!E214</f>
        <v>4.9463661192181152E-4</v>
      </c>
    </row>
    <row r="215" spans="1:5">
      <c r="A215" t="s">
        <v>218</v>
      </c>
      <c r="B215">
        <f>標準化權重!B215-每日權重!B215</f>
        <v>0</v>
      </c>
      <c r="C215" s="7">
        <f>標準化權重!C215-每日權重!C215</f>
        <v>1.0751144125900475E-3</v>
      </c>
      <c r="D215" s="7">
        <f>標準化權重!D215-每日權重!D215</f>
        <v>-1.5752592050537473E-3</v>
      </c>
      <c r="E215" s="7">
        <f>標準化權重!E215-每日權重!E215</f>
        <v>5.0014479246364429E-4</v>
      </c>
    </row>
    <row r="216" spans="1:5">
      <c r="A216" t="s">
        <v>219</v>
      </c>
      <c r="B216">
        <f>標準化權重!B216-每日權重!B216</f>
        <v>0</v>
      </c>
      <c r="C216" s="7">
        <f>標準化權重!C216-每日權重!C216</f>
        <v>1.1179762261206427E-3</v>
      </c>
      <c r="D216" s="7">
        <f>標準化權重!D216-每日權重!D216</f>
        <v>-1.6070573324706849E-3</v>
      </c>
      <c r="E216" s="7">
        <f>標準化權重!E216-每日權重!E216</f>
        <v>4.8908110634988955E-4</v>
      </c>
    </row>
    <row r="217" spans="1:5">
      <c r="A217" t="s">
        <v>220</v>
      </c>
      <c r="B217">
        <f>標準化權重!B217-每日權重!B217</f>
        <v>0</v>
      </c>
      <c r="C217" s="7">
        <f>標準化權重!C217-每日權重!C217</f>
        <v>1.0983645481384974E-3</v>
      </c>
      <c r="D217" s="7">
        <f>標準化權重!D217-每日權重!D217</f>
        <v>-1.5981151510737757E-3</v>
      </c>
      <c r="E217" s="7">
        <f>標準化權重!E217-每日權重!E217</f>
        <v>4.9975060293530604E-4</v>
      </c>
    </row>
    <row r="218" spans="1:5">
      <c r="A218" t="s">
        <v>221</v>
      </c>
      <c r="B218">
        <f>標準化權重!B218-每日權重!B218</f>
        <v>0</v>
      </c>
      <c r="C218" s="7">
        <f>標準化權重!C218-每日權重!C218</f>
        <v>1.081907978773694E-3</v>
      </c>
      <c r="D218" s="7">
        <f>標準化權重!D218-每日權重!D218</f>
        <v>-1.5779701053179052E-3</v>
      </c>
      <c r="E218" s="7">
        <f>標準化權重!E218-每日權重!E218</f>
        <v>4.960621265441556E-4</v>
      </c>
    </row>
    <row r="219" spans="1:5">
      <c r="A219" t="s">
        <v>222</v>
      </c>
      <c r="B219">
        <f>標準化權重!B219-每日權重!B219</f>
        <v>0</v>
      </c>
      <c r="C219" s="7">
        <f>標準化權重!C219-每日權重!C219</f>
        <v>1.0730630115068085E-3</v>
      </c>
      <c r="D219" s="7">
        <f>標準化權重!D219-每日權重!D219</f>
        <v>-1.5698234840020309E-3</v>
      </c>
      <c r="E219" s="7">
        <f>標準化權重!E219-每日權重!E219</f>
        <v>4.9676047249516686E-4</v>
      </c>
    </row>
    <row r="220" spans="1:5">
      <c r="A220" t="s">
        <v>223</v>
      </c>
      <c r="B220">
        <f>標準化權重!B220-每日權重!B220</f>
        <v>0</v>
      </c>
      <c r="C220" s="7">
        <f>標準化權重!C220-每日權重!C220</f>
        <v>1.080032334473971E-3</v>
      </c>
      <c r="D220" s="7">
        <f>標準化權重!D220-每日權重!D220</f>
        <v>-1.5796940889317712E-3</v>
      </c>
      <c r="E220" s="7">
        <f>標準化權重!E220-每日權重!E220</f>
        <v>4.996617544578974E-4</v>
      </c>
    </row>
    <row r="221" spans="1:5">
      <c r="A221" t="s">
        <v>224</v>
      </c>
      <c r="B221">
        <f>標準化權重!B221-每日權重!B221</f>
        <v>0</v>
      </c>
      <c r="C221" s="7">
        <f>標準化權重!C221-每日權重!C221</f>
        <v>1.0480130778626334E-3</v>
      </c>
      <c r="D221" s="7">
        <f>標準化權重!D221-每日權重!D221</f>
        <v>-1.5536495815006157E-3</v>
      </c>
      <c r="E221" s="7">
        <f>標準化權重!E221-每日權重!E221</f>
        <v>5.0563650363780188E-4</v>
      </c>
    </row>
    <row r="222" spans="1:5">
      <c r="A222" t="s">
        <v>225</v>
      </c>
      <c r="B222">
        <f>標準化權重!B222-每日權重!B222</f>
        <v>0</v>
      </c>
      <c r="C222" s="7">
        <f>標準化權重!C222-每日權重!C222</f>
        <v>1.0353386761909611E-3</v>
      </c>
      <c r="D222" s="7">
        <f>標準化權重!D222-每日權重!D222</f>
        <v>-1.5360601979353961E-3</v>
      </c>
      <c r="E222" s="7">
        <f>標準化權重!E222-每日權重!E222</f>
        <v>5.0072152174447659E-4</v>
      </c>
    </row>
    <row r="223" spans="1:5">
      <c r="A223" t="s">
        <v>226</v>
      </c>
      <c r="B223">
        <f>標準化權重!B223-每日權重!B223</f>
        <v>0</v>
      </c>
      <c r="C223" s="7">
        <f>標準化權重!C223-每日權重!C223</f>
        <v>1.0438135497319034E-3</v>
      </c>
      <c r="D223" s="7">
        <f>標準化權重!D223-每日權重!D223</f>
        <v>-1.5391246170867179E-3</v>
      </c>
      <c r="E223" s="7">
        <f>標準化權重!E223-每日權重!E223</f>
        <v>4.9531106735482833E-4</v>
      </c>
    </row>
    <row r="224" spans="1:5">
      <c r="A224" t="s">
        <v>227</v>
      </c>
      <c r="B224">
        <f>標準化權重!B224-每日權重!B224</f>
        <v>0</v>
      </c>
      <c r="C224" s="7">
        <f>標準化權重!C224-每日權重!C224</f>
        <v>1.0312638750890057E-3</v>
      </c>
      <c r="D224" s="7">
        <f>標準化權重!D224-每日權重!D224</f>
        <v>-1.5277625826290997E-3</v>
      </c>
      <c r="E224" s="7">
        <f>標準化權重!E224-每日權重!E224</f>
        <v>4.9649870753988579E-4</v>
      </c>
    </row>
    <row r="225" spans="1:5">
      <c r="A225" t="s">
        <v>228</v>
      </c>
      <c r="B225">
        <f>標準化權重!B225-每日權重!B225</f>
        <v>0</v>
      </c>
      <c r="C225" s="7">
        <f>標準化權重!C225-每日權重!C225</f>
        <v>1.035591365745922E-3</v>
      </c>
      <c r="D225" s="7">
        <f>標準化權重!D225-每日權重!D225</f>
        <v>-1.5290932051382766E-3</v>
      </c>
      <c r="E225" s="7">
        <f>標準化權重!E225-每日權重!E225</f>
        <v>4.9350183939233377E-4</v>
      </c>
    </row>
    <row r="226" spans="1:5">
      <c r="A226" t="s">
        <v>229</v>
      </c>
      <c r="B226">
        <f>標準化權重!B226-每日權重!B226</f>
        <v>0</v>
      </c>
      <c r="C226" s="7">
        <f>標準化權重!C226-每日權重!C226</f>
        <v>1.013950008661349E-3</v>
      </c>
      <c r="D226" s="7">
        <f>標準化權重!D226-每日權重!D226</f>
        <v>-1.512594267147005E-3</v>
      </c>
      <c r="E226" s="7">
        <f>標準化權重!E226-每日權重!E226</f>
        <v>4.9864425848551719E-4</v>
      </c>
    </row>
    <row r="227" spans="1:5">
      <c r="A227" t="s">
        <v>230</v>
      </c>
      <c r="B227">
        <f>標準化權重!B227-每日權重!B227</f>
        <v>0</v>
      </c>
      <c r="C227" s="7">
        <f>標準化權重!C227-每日權重!C227</f>
        <v>1.0057827812585546E-3</v>
      </c>
      <c r="D227" s="7">
        <f>標準化權重!D227-每日權重!D227</f>
        <v>-1.5174340573312906E-3</v>
      </c>
      <c r="E227" s="7">
        <f>標準化權重!E227-每日權重!E227</f>
        <v>5.1165127607280536E-4</v>
      </c>
    </row>
    <row r="228" spans="1:5">
      <c r="A228" t="s">
        <v>231</v>
      </c>
      <c r="B228">
        <f>標準化權重!B228-每日權重!B228</f>
        <v>0</v>
      </c>
      <c r="C228" s="7">
        <f>標準化權重!C228-每日權重!C228</f>
        <v>1.0064401883548013E-3</v>
      </c>
      <c r="D228" s="7">
        <f>標準化權重!D228-每日權重!D228</f>
        <v>-1.5262467957889436E-3</v>
      </c>
      <c r="E228" s="7">
        <f>標準化權重!E228-每日權重!E228</f>
        <v>5.1980660743417006E-4</v>
      </c>
    </row>
    <row r="229" spans="1:5">
      <c r="A229" t="s">
        <v>232</v>
      </c>
      <c r="B229">
        <f>標準化權重!B229-每日權重!B229</f>
        <v>0</v>
      </c>
      <c r="C229" s="7">
        <f>標準化權重!C229-每日權重!C229</f>
        <v>7.3276657345890117E-4</v>
      </c>
      <c r="D229" s="7">
        <f>標準化權重!D229-每日權重!D229</f>
        <v>-1.0442223023664488E-3</v>
      </c>
      <c r="E229" s="7">
        <f>標準化權重!E229-每日權重!E229</f>
        <v>3.1145572890754758E-4</v>
      </c>
    </row>
    <row r="230" spans="1:5">
      <c r="A230" t="s">
        <v>233</v>
      </c>
      <c r="B230">
        <f>標準化權重!B230-每日權重!B230</f>
        <v>0</v>
      </c>
      <c r="C230" s="7">
        <f>標準化權重!C230-每日權重!C230</f>
        <v>7.2213218463271223E-4</v>
      </c>
      <c r="D230" s="7">
        <f>標準化權重!D230-每日權重!D230</f>
        <v>-1.0392967440332468E-3</v>
      </c>
      <c r="E230" s="7">
        <f>標準化權重!E230-每日權重!E230</f>
        <v>3.1716455940060395E-4</v>
      </c>
    </row>
    <row r="231" spans="1:5">
      <c r="A231" t="s">
        <v>234</v>
      </c>
      <c r="B231">
        <f>標準化權重!B231-每日權重!B231</f>
        <v>0</v>
      </c>
      <c r="C231" s="7">
        <f>標準化權重!C231-每日權重!C231</f>
        <v>6.9894785317350938E-4</v>
      </c>
      <c r="D231" s="7">
        <f>標準化權重!D231-每日權重!D231</f>
        <v>-1.0092759975236509E-3</v>
      </c>
      <c r="E231" s="7">
        <f>標準化權重!E231-每日權重!E231</f>
        <v>3.103281443503636E-4</v>
      </c>
    </row>
    <row r="232" spans="1:5">
      <c r="A232" t="s">
        <v>235</v>
      </c>
      <c r="B232">
        <f>標準化權重!B232-每日權重!B232</f>
        <v>0</v>
      </c>
      <c r="C232" s="7">
        <f>標準化權重!C232-每日權重!C232</f>
        <v>7.050204757333145E-4</v>
      </c>
      <c r="D232" s="7">
        <f>標準化權重!D232-每日權重!D232</f>
        <v>-1.0245987805280743E-3</v>
      </c>
      <c r="E232" s="7">
        <f>標準化權重!E232-每日權重!E232</f>
        <v>3.1957830479475979E-4</v>
      </c>
    </row>
    <row r="233" spans="1:5">
      <c r="A233" t="s">
        <v>236</v>
      </c>
      <c r="B233">
        <f>標準化權重!B233-每日權重!B233</f>
        <v>0</v>
      </c>
      <c r="C233" s="7">
        <f>標準化權重!C233-每日權重!C233</f>
        <v>7.0528895193332219E-4</v>
      </c>
      <c r="D233" s="7">
        <f>標準化權重!D233-每日權重!D233</f>
        <v>-1.0214336264412482E-3</v>
      </c>
      <c r="E233" s="7">
        <f>標準化權重!E233-每日權重!E233</f>
        <v>3.1614467450800932E-4</v>
      </c>
    </row>
    <row r="234" spans="1:5">
      <c r="A234" t="s">
        <v>237</v>
      </c>
      <c r="B234">
        <f>標準化權重!B234-每日權重!B234</f>
        <v>0</v>
      </c>
      <c r="C234" s="7">
        <f>標準化權重!C234-每日權重!C234</f>
        <v>7.0117533423276479E-4</v>
      </c>
      <c r="D234" s="7">
        <f>標準化權重!D234-每日權重!D234</f>
        <v>-1.021529070068361E-3</v>
      </c>
      <c r="E234" s="7">
        <f>標準化權重!E234-每日權重!E234</f>
        <v>3.2035373583561011E-4</v>
      </c>
    </row>
    <row r="235" spans="1:5">
      <c r="A235" t="s">
        <v>238</v>
      </c>
      <c r="B235">
        <f>標準化權重!B235-每日權重!B235</f>
        <v>0</v>
      </c>
      <c r="C235" s="7">
        <f>標準化權重!C235-每日權重!C235</f>
        <v>7.2024326560578278E-4</v>
      </c>
      <c r="D235" s="7">
        <f>標準化權重!D235-每日權重!D235</f>
        <v>-1.0414485233712911E-3</v>
      </c>
      <c r="E235" s="7">
        <f>標準化權重!E235-每日權重!E235</f>
        <v>3.2120525776561937E-4</v>
      </c>
    </row>
    <row r="236" spans="1:5">
      <c r="A236" t="s">
        <v>239</v>
      </c>
      <c r="B236">
        <f>標準化權重!B236-每日權重!B236</f>
        <v>0</v>
      </c>
      <c r="C236" s="7">
        <f>標準化權重!C236-每日權重!C236</f>
        <v>7.1146196835117359E-4</v>
      </c>
      <c r="D236" s="7">
        <f>標準化權重!D236-每日權重!D236</f>
        <v>-1.0262165594558947E-3</v>
      </c>
      <c r="E236" s="7">
        <f>標準化權重!E236-每日權重!E236</f>
        <v>3.1475459110488768E-4</v>
      </c>
    </row>
    <row r="237" spans="1:5">
      <c r="A237" t="s">
        <v>240</v>
      </c>
      <c r="B237">
        <f>標準化權重!B237-每日權重!B237</f>
        <v>0</v>
      </c>
      <c r="C237" s="7">
        <f>標準化權重!C237-每日權重!C237</f>
        <v>7.1171786232850087E-4</v>
      </c>
      <c r="D237" s="7">
        <f>標準化權重!D237-每日權重!D237</f>
        <v>-1.0255050336163141E-3</v>
      </c>
      <c r="E237" s="7">
        <f>標準化權重!E237-每日權重!E237</f>
        <v>3.1378717128779932E-4</v>
      </c>
    </row>
    <row r="238" spans="1:5">
      <c r="A238" t="s">
        <v>241</v>
      </c>
      <c r="B238">
        <f>標準化權重!B238-每日權重!B238</f>
        <v>0</v>
      </c>
      <c r="C238" s="7">
        <f>標準化權重!C238-每日權重!C238</f>
        <v>7.1224953577651851E-4</v>
      </c>
      <c r="D238" s="7">
        <f>標準化權重!D238-每日權重!D238</f>
        <v>-1.025692294029934E-3</v>
      </c>
      <c r="E238" s="7">
        <f>標準化權重!E238-每日權重!E238</f>
        <v>3.1344275825342938E-4</v>
      </c>
    </row>
    <row r="239" spans="1:5">
      <c r="A239" t="s">
        <v>242</v>
      </c>
      <c r="B239">
        <f>標準化權重!B239-每日權重!B239</f>
        <v>0</v>
      </c>
      <c r="C239" s="7">
        <f>標準化權重!C239-每日權重!C239</f>
        <v>7.1495687417549858E-4</v>
      </c>
      <c r="D239" s="7">
        <f>標準化權重!D239-每日權重!D239</f>
        <v>-1.0299373367280706E-3</v>
      </c>
      <c r="E239" s="7">
        <f>標準化權重!E239-每日權重!E239</f>
        <v>3.1498046255269696E-4</v>
      </c>
    </row>
    <row r="240" spans="1:5">
      <c r="A240" t="s">
        <v>243</v>
      </c>
      <c r="B240">
        <f>標準化權重!B240-每日權重!B240</f>
        <v>0</v>
      </c>
      <c r="C240" s="7">
        <f>標準化權重!C240-每日權重!C240</f>
        <v>7.0880865848954588E-4</v>
      </c>
      <c r="D240" s="7">
        <f>標準化權重!D240-每日權重!D240</f>
        <v>-1.025170753814808E-3</v>
      </c>
      <c r="E240" s="7">
        <f>標準化權重!E240-每日權重!E240</f>
        <v>3.1636209532522053E-4</v>
      </c>
    </row>
    <row r="241" spans="1:5">
      <c r="A241" t="s">
        <v>244</v>
      </c>
      <c r="B241">
        <f>標準化權重!B241-每日權重!B241</f>
        <v>0</v>
      </c>
      <c r="C241" s="7">
        <f>標準化權重!C241-每日權重!C241</f>
        <v>7.0449095425047237E-4</v>
      </c>
      <c r="D241" s="7">
        <f>標準化權重!D241-每日權重!D241</f>
        <v>-1.0195141753077674E-3</v>
      </c>
      <c r="E241" s="7">
        <f>標準化權重!E241-每日權重!E241</f>
        <v>3.1502322105737834E-4</v>
      </c>
    </row>
    <row r="242" spans="1:5">
      <c r="A242" t="s">
        <v>245</v>
      </c>
      <c r="B242">
        <f>標準化權重!B242-每日權重!B242</f>
        <v>0</v>
      </c>
      <c r="C242" s="7">
        <f>標準化權重!C242-每日權重!C242</f>
        <v>7.0878548042846434E-4</v>
      </c>
      <c r="D242" s="7">
        <f>標準化權重!D242-每日權重!D242</f>
        <v>-1.026029548233609E-3</v>
      </c>
      <c r="E242" s="7">
        <f>標準化權重!E242-每日權重!E242</f>
        <v>3.1724406780522796E-4</v>
      </c>
    </row>
    <row r="243" spans="1:5">
      <c r="A243" t="s">
        <v>246</v>
      </c>
      <c r="B243">
        <f>標準化權重!B243-每日權重!B243</f>
        <v>0</v>
      </c>
      <c r="C243" s="7">
        <f>標準化權重!C243-每日權重!C243</f>
        <v>6.036719545566005E-4</v>
      </c>
      <c r="D243" s="7">
        <f>標準化權重!D243-每日權重!D243</f>
        <v>-2.2157799574782366E-3</v>
      </c>
      <c r="E243" s="7">
        <f>標準化權重!E243-每日權重!E243</f>
        <v>1.6121080029216361E-3</v>
      </c>
    </row>
    <row r="244" spans="1:5">
      <c r="A244" t="s">
        <v>247</v>
      </c>
      <c r="B244">
        <f>標準化權重!B244-每日權重!B244</f>
        <v>0</v>
      </c>
      <c r="C244" s="7">
        <f>標準化權重!C244-每日權重!C244</f>
        <v>5.944843129409294E-4</v>
      </c>
      <c r="D244" s="7">
        <f>標準化權重!D244-每日權重!D244</f>
        <v>-2.2118715154206825E-3</v>
      </c>
      <c r="E244" s="7">
        <f>標準化權重!E244-每日權重!E244</f>
        <v>1.6173872024798641E-3</v>
      </c>
    </row>
    <row r="245" spans="1:5">
      <c r="A245" t="s">
        <v>248</v>
      </c>
      <c r="B245">
        <f>標準化權重!B245-每日權重!B245</f>
        <v>0</v>
      </c>
      <c r="C245" s="7">
        <f>標準化權重!C245-每日權重!C245</f>
        <v>5.8175542940080982E-4</v>
      </c>
      <c r="D245" s="7">
        <f>標準化權重!D245-每日權重!D245</f>
        <v>-2.1999300701336377E-3</v>
      </c>
      <c r="E245" s="7">
        <f>標準化權重!E245-每日權重!E245</f>
        <v>1.6181746407326336E-3</v>
      </c>
    </row>
    <row r="246" spans="1:5">
      <c r="A246" t="s">
        <v>249</v>
      </c>
      <c r="B246">
        <f>標準化權重!B246-每日權重!B246</f>
        <v>0</v>
      </c>
      <c r="C246" s="7">
        <f>標準化權重!C246-每日權重!C246</f>
        <v>5.8757332202143131E-4</v>
      </c>
      <c r="D246" s="7">
        <f>標準化權重!D246-每日權重!D246</f>
        <v>-2.2590625942443543E-3</v>
      </c>
      <c r="E246" s="7">
        <f>標準化權重!E246-每日權重!E246</f>
        <v>1.6714892722230479E-3</v>
      </c>
    </row>
    <row r="247" spans="1:5">
      <c r="A247" t="s">
        <v>250</v>
      </c>
      <c r="B247">
        <f>標準化權重!B247-每日權重!B247</f>
        <v>0</v>
      </c>
      <c r="C247" s="7">
        <f>標準化權重!C247-每日權重!C247</f>
        <v>5.919616238106995E-4</v>
      </c>
      <c r="D247" s="7">
        <f>標準化權重!D247-每日權重!D247</f>
        <v>-2.2743221196018792E-3</v>
      </c>
      <c r="E247" s="7">
        <f>標準化權重!E247-每日權重!E247</f>
        <v>1.6823604957912491E-3</v>
      </c>
    </row>
    <row r="248" spans="1:5">
      <c r="A248" t="s">
        <v>251</v>
      </c>
      <c r="B248">
        <f>標準化權重!B248-每日權重!B248</f>
        <v>0</v>
      </c>
      <c r="C248" s="7">
        <f>標準化權重!C248-每日權重!C248</f>
        <v>5.8349844150082375E-4</v>
      </c>
      <c r="D248" s="7">
        <f>標準化權重!D248-每日權重!D248</f>
        <v>-2.2463148423360613E-3</v>
      </c>
      <c r="E248" s="7">
        <f>標準化權重!E248-每日權重!E248</f>
        <v>1.6628164008352375E-3</v>
      </c>
    </row>
    <row r="249" spans="1:5">
      <c r="A249" t="s">
        <v>252</v>
      </c>
      <c r="B249">
        <f>標準化權重!B249-每日權重!B249</f>
        <v>0</v>
      </c>
      <c r="C249" s="7">
        <f>標準化權重!C249-每日權重!C249</f>
        <v>5.7659689687317162E-4</v>
      </c>
      <c r="D249" s="7">
        <f>標準化權重!D249-每日權重!D249</f>
        <v>-2.2657534013350578E-3</v>
      </c>
      <c r="E249" s="7">
        <f>標準化權重!E249-每日權重!E249</f>
        <v>1.6891565044619833E-3</v>
      </c>
    </row>
    <row r="250" spans="1:5">
      <c r="A250" t="s">
        <v>253</v>
      </c>
      <c r="B250">
        <f>標準化權重!B250-每日權重!B250</f>
        <v>0</v>
      </c>
      <c r="C250" s="7">
        <f>標準化權重!C250-每日權重!C250</f>
        <v>5.6500919335028543E-4</v>
      </c>
      <c r="D250" s="7">
        <f>標準化權重!D250-每日權重!D250</f>
        <v>-2.2168348828589535E-3</v>
      </c>
      <c r="E250" s="7">
        <f>標準化權重!E250-每日權重!E250</f>
        <v>1.6518256895086819E-3</v>
      </c>
    </row>
    <row r="251" spans="1:5">
      <c r="A251" t="s">
        <v>254</v>
      </c>
      <c r="B251">
        <f>標準化權重!B251-每日權重!B251</f>
        <v>0</v>
      </c>
      <c r="C251" s="7">
        <f>標準化權重!C251-每日權重!C251</f>
        <v>5.677489571971478E-4</v>
      </c>
      <c r="D251" s="7">
        <f>標準化權重!D251-每日權重!D251</f>
        <v>-2.2094584930272276E-3</v>
      </c>
      <c r="E251" s="7">
        <f>標準化權重!E251-每日權重!E251</f>
        <v>1.6417095358300521E-3</v>
      </c>
    </row>
    <row r="252" spans="1:5">
      <c r="A252" t="s">
        <v>255</v>
      </c>
      <c r="B252">
        <f>標準化權重!B252-每日權重!B252</f>
        <v>0</v>
      </c>
      <c r="C252" s="7">
        <f>標準化權重!C252-每日權重!C252</f>
        <v>5.6318486217531161E-4</v>
      </c>
      <c r="D252" s="7">
        <f>標準化權重!D252-每日權重!D252</f>
        <v>-2.2584827040676991E-3</v>
      </c>
      <c r="E252" s="7">
        <f>標準化權重!E252-每日權重!E252</f>
        <v>1.6952978418924014E-3</v>
      </c>
    </row>
    <row r="253" spans="1:5">
      <c r="A253" t="s">
        <v>256</v>
      </c>
      <c r="B253">
        <f>標準化權重!B253-每日權重!B253</f>
        <v>0</v>
      </c>
      <c r="C253" s="7">
        <f>標準化權重!C253-每日權重!C253</f>
        <v>5.539697262545995E-4</v>
      </c>
      <c r="D253" s="7">
        <f>標準化權重!D253-每日權重!D253</f>
        <v>-2.2395655448232965E-3</v>
      </c>
      <c r="E253" s="7">
        <f>標準化權重!E253-每日權重!E253</f>
        <v>1.6855958185685721E-3</v>
      </c>
    </row>
    <row r="254" spans="1:5">
      <c r="A254" t="s">
        <v>257</v>
      </c>
      <c r="B254">
        <f>標準化權重!B254-每日權重!B254</f>
        <v>0</v>
      </c>
      <c r="C254" s="7">
        <f>標準化權重!C254-每日權重!C254</f>
        <v>5.529018062667701E-4</v>
      </c>
      <c r="D254" s="7">
        <f>標準化權重!D254-每日權重!D254</f>
        <v>-2.1912343327655792E-3</v>
      </c>
      <c r="E254" s="7">
        <f>標準化權重!E254-每日權重!E254</f>
        <v>1.6383325264987952E-3</v>
      </c>
    </row>
    <row r="255" spans="1:5">
      <c r="A255" t="s">
        <v>258</v>
      </c>
      <c r="B255">
        <f>標準化權重!B255-每日權重!B255</f>
        <v>0</v>
      </c>
      <c r="C255" s="7">
        <f>標準化權重!C255-每日權重!C255</f>
        <v>5.6352101186819825E-4</v>
      </c>
      <c r="D255" s="7">
        <f>標準化權重!D255-每日權重!D255</f>
        <v>-2.2127903927759984E-3</v>
      </c>
      <c r="E255" s="7">
        <f>標準化權重!E255-每日權重!E255</f>
        <v>1.6492693809077724E-3</v>
      </c>
    </row>
    <row r="256" spans="1:5">
      <c r="A256" t="s">
        <v>259</v>
      </c>
      <c r="B256">
        <f>標準化權重!B256-每日權重!B256</f>
        <v>0</v>
      </c>
      <c r="C256" s="7">
        <f>標準化權重!C256-每日權重!C256</f>
        <v>5.6269594772781484E-4</v>
      </c>
      <c r="D256" s="7">
        <f>標準化權重!D256-每日權重!D256</f>
        <v>-2.2313037870431707E-3</v>
      </c>
      <c r="E256" s="7">
        <f>標準化權重!E256-每日權重!E256</f>
        <v>1.6686078393154113E-3</v>
      </c>
    </row>
    <row r="257" spans="1:5">
      <c r="A257" t="s">
        <v>260</v>
      </c>
      <c r="B257">
        <f>標準化權重!B257-每日權重!B257</f>
        <v>0</v>
      </c>
      <c r="C257" s="7">
        <f>標準化權重!C257-每日權重!C257</f>
        <v>5.6242657907246141E-4</v>
      </c>
      <c r="D257" s="7">
        <f>標準化權重!D257-每日權重!D257</f>
        <v>-2.2126637062677146E-3</v>
      </c>
      <c r="E257" s="7">
        <f>標準化權重!E257-每日權重!E257</f>
        <v>1.6502371271951422E-3</v>
      </c>
    </row>
    <row r="258" spans="1:5">
      <c r="A258" t="s">
        <v>261</v>
      </c>
      <c r="B258">
        <f>標準化權重!B258-每日權重!B258</f>
        <v>0</v>
      </c>
      <c r="C258" s="7">
        <f>標準化權重!C258-每日權重!C258</f>
        <v>5.3740289307682709E-4</v>
      </c>
      <c r="D258" s="7">
        <f>標準化權重!D258-每日權重!D258</f>
        <v>-2.3136910585724868E-3</v>
      </c>
      <c r="E258" s="7">
        <f>標準化權重!E258-每日權重!E258</f>
        <v>1.7762881654956736E-3</v>
      </c>
    </row>
    <row r="259" spans="1:5">
      <c r="A259" t="s">
        <v>262</v>
      </c>
      <c r="B259">
        <f>標準化權重!B259-每日權重!B259</f>
        <v>0</v>
      </c>
      <c r="C259" s="7">
        <f>標準化權重!C259-每日權重!C259</f>
        <v>5.3017612632980105E-4</v>
      </c>
      <c r="D259" s="7">
        <f>標準化權重!D259-每日權重!D259</f>
        <v>-2.2657079918240175E-3</v>
      </c>
      <c r="E259" s="7">
        <f>標準化權重!E259-每日權重!E259</f>
        <v>1.7355318654943691E-3</v>
      </c>
    </row>
    <row r="260" spans="1:5">
      <c r="A260" t="s">
        <v>263</v>
      </c>
      <c r="B260">
        <f>標準化權重!B260-每日權重!B260</f>
        <v>0</v>
      </c>
      <c r="C260" s="7">
        <f>標準化權重!C260-每日權重!C260</f>
        <v>5.3882146903161399E-4</v>
      </c>
      <c r="D260" s="7">
        <f>標準化權重!D260-每日權重!D260</f>
        <v>-2.2852475689514318E-3</v>
      </c>
      <c r="E260" s="7">
        <f>標準化權重!E260-每日權重!E260</f>
        <v>1.7464260999197206E-3</v>
      </c>
    </row>
    <row r="261" spans="1:5">
      <c r="A261" t="s">
        <v>264</v>
      </c>
      <c r="B261">
        <f>標準化權重!B261-每日權重!B261</f>
        <v>0</v>
      </c>
      <c r="C261" s="7">
        <f>標準化權重!C261-每日權重!C261</f>
        <v>5.4285738818780904E-4</v>
      </c>
      <c r="D261" s="7">
        <f>標準化權重!D261-每日權重!D261</f>
        <v>-2.2813974500108802E-3</v>
      </c>
      <c r="E261" s="7">
        <f>標準化權重!E261-每日權重!E261</f>
        <v>1.7385400618231406E-3</v>
      </c>
    </row>
    <row r="262" spans="1:5">
      <c r="A262" t="s">
        <v>265</v>
      </c>
      <c r="B262">
        <f>標準化權重!B262-每日權重!B262</f>
        <v>0</v>
      </c>
      <c r="C262" s="7">
        <f>標準化權重!C262-每日權重!C262</f>
        <v>5.5349085356340422E-4</v>
      </c>
      <c r="D262" s="7">
        <f>標準化權重!D262-每日權重!D262</f>
        <v>-2.2755563194802875E-3</v>
      </c>
      <c r="E262" s="7">
        <f>標準化權重!E262-每日權重!E262</f>
        <v>1.7220654659166751E-3</v>
      </c>
    </row>
    <row r="263" spans="1:5">
      <c r="A263" t="s">
        <v>266</v>
      </c>
      <c r="B263">
        <f>標準化權重!B263-每日權重!B263</f>
        <v>0</v>
      </c>
      <c r="C263" s="7">
        <f>標準化權重!C263-每日權重!C263</f>
        <v>5.5316356900270147E-4</v>
      </c>
      <c r="D263" s="7">
        <f>標準化權重!D263-每日權重!D263</f>
        <v>-2.2582391603048757E-3</v>
      </c>
      <c r="E263" s="7">
        <f>標準化權重!E263-每日權重!E263</f>
        <v>1.7050755913023685E-3</v>
      </c>
    </row>
    <row r="264" spans="1:5">
      <c r="A264" t="s">
        <v>267</v>
      </c>
      <c r="B264">
        <f>標準化權重!B264-每日權重!B264</f>
        <v>0</v>
      </c>
      <c r="C264" s="7">
        <f>標準化權重!C264-每日權重!C264</f>
        <v>5.6197399716374774E-4</v>
      </c>
      <c r="D264" s="7">
        <f>標準化權重!D264-每日權重!D264</f>
        <v>-2.2861725397956834E-3</v>
      </c>
      <c r="E264" s="7">
        <f>標準化權重!E264-每日權重!E264</f>
        <v>1.7241985426320605E-3</v>
      </c>
    </row>
    <row r="265" spans="1:5">
      <c r="A265" t="s">
        <v>268</v>
      </c>
      <c r="B265">
        <f>標準化權重!B265-每日權重!B265</f>
        <v>0</v>
      </c>
      <c r="C265" s="7">
        <f>標準化權重!C265-每日權重!C265</f>
        <v>5.6218706530090923E-4</v>
      </c>
      <c r="D265" s="7">
        <f>標準化權重!D265-每日權重!D265</f>
        <v>-2.2754159493406645E-3</v>
      </c>
      <c r="E265" s="7">
        <f>標準化權重!E265-每日權重!E265</f>
        <v>1.7132288840398385E-3</v>
      </c>
    </row>
    <row r="266" spans="1:5">
      <c r="A266" t="s">
        <v>269</v>
      </c>
      <c r="B266">
        <f>標準化權重!B266-每日權重!B266</f>
        <v>0</v>
      </c>
      <c r="C266" s="7">
        <f>標準化權重!C266-每日權重!C266</f>
        <v>5.6922943301122852E-4</v>
      </c>
      <c r="D266" s="7">
        <f>標準化權重!D266-每日權重!D266</f>
        <v>-2.3265334476896271E-3</v>
      </c>
      <c r="E266" s="7">
        <f>標準化權重!E266-每日權重!E266</f>
        <v>1.757304014678468E-3</v>
      </c>
    </row>
    <row r="267" spans="1:5">
      <c r="A267" t="s">
        <v>270</v>
      </c>
      <c r="B267">
        <f>標準化權重!B267-每日權重!B267</f>
        <v>0</v>
      </c>
      <c r="C267" s="7">
        <f>標準化權重!C267-每日權重!C267</f>
        <v>5.7421379483001134E-4</v>
      </c>
      <c r="D267" s="7">
        <f>標準化權重!D267-每日權重!D267</f>
        <v>-2.3559062127002095E-3</v>
      </c>
      <c r="E267" s="7">
        <f>標準化權重!E267-每日權重!E267</f>
        <v>1.7816924178701982E-3</v>
      </c>
    </row>
    <row r="268" spans="1:5">
      <c r="A268" t="s">
        <v>271</v>
      </c>
      <c r="B268">
        <f>標準化權重!B268-每日權重!B268</f>
        <v>0</v>
      </c>
      <c r="C268" s="7">
        <f>標準化權重!C268-每日權重!C268</f>
        <v>5.7450278924776887E-4</v>
      </c>
      <c r="D268" s="7">
        <f>標準化權重!D268-每日權重!D268</f>
        <v>-2.3603629905213364E-3</v>
      </c>
      <c r="E268" s="7">
        <f>標準化權重!E268-每日權重!E268</f>
        <v>1.7858602012734842E-3</v>
      </c>
    </row>
    <row r="269" spans="1:5">
      <c r="A269" t="s">
        <v>272</v>
      </c>
      <c r="B269">
        <f>標準化權重!B269-每日權重!B269</f>
        <v>0</v>
      </c>
      <c r="C269" s="7">
        <f>標準化權重!C269-每日權重!C269</f>
        <v>5.7402582630998455E-4</v>
      </c>
      <c r="D269" s="7">
        <f>標準化權重!D269-每日權重!D269</f>
        <v>-2.3306177655049165E-3</v>
      </c>
      <c r="E269" s="7">
        <f>標準化權重!E269-每日權重!E269</f>
        <v>1.7565919391948903E-3</v>
      </c>
    </row>
    <row r="270" spans="1:5">
      <c r="A270" t="s">
        <v>273</v>
      </c>
      <c r="B270">
        <f>標準化權重!B270-每日權重!B270</f>
        <v>0</v>
      </c>
      <c r="C270" s="7">
        <f>標準化權重!C270-每日權重!C270</f>
        <v>5.7498122432161902E-4</v>
      </c>
      <c r="D270" s="7">
        <f>標準化權重!D270-每日權重!D270</f>
        <v>-2.3492146212148457E-3</v>
      </c>
      <c r="E270" s="7">
        <f>標準化權重!E270-每日權重!E270</f>
        <v>1.7742333968933377E-3</v>
      </c>
    </row>
    <row r="271" spans="1:5">
      <c r="A271" t="s">
        <v>274</v>
      </c>
      <c r="B271">
        <f>標準化權重!B271-每日權重!B271</f>
        <v>0</v>
      </c>
      <c r="C271" s="7">
        <f>標準化權重!C271-每日權重!C271</f>
        <v>5.7980623029969813E-4</v>
      </c>
      <c r="D271" s="7">
        <f>標準化權重!D271-每日權重!D271</f>
        <v>-2.3275338131047985E-3</v>
      </c>
      <c r="E271" s="7">
        <f>標準化權重!E271-每日權重!E271</f>
        <v>1.747727582805253E-3</v>
      </c>
    </row>
    <row r="272" spans="1:5">
      <c r="A272" t="s">
        <v>275</v>
      </c>
      <c r="B272">
        <f>標準化權重!B272-每日權重!B272</f>
        <v>0</v>
      </c>
      <c r="C272" s="7">
        <f>標準化權重!C272-每日權重!C272</f>
        <v>5.7696947114214969E-4</v>
      </c>
      <c r="D272" s="7">
        <f>標準化權重!D272-每日權重!D272</f>
        <v>-2.3154213257279288E-3</v>
      </c>
      <c r="E272" s="7">
        <f>標準化權重!E272-每日權重!E272</f>
        <v>1.7384518545858207E-3</v>
      </c>
    </row>
    <row r="273" spans="1:5">
      <c r="A273" t="s">
        <v>276</v>
      </c>
      <c r="B273">
        <f>標準化權重!B273-每日權重!B273</f>
        <v>0</v>
      </c>
      <c r="C273" s="7">
        <f>標準化權重!C273-每日權重!C273</f>
        <v>5.8137626793057506E-4</v>
      </c>
      <c r="D273" s="7">
        <f>標準化權重!D273-每日權重!D273</f>
        <v>-2.3783038140519075E-3</v>
      </c>
      <c r="E273" s="7">
        <f>標準化權重!E273-每日權重!E273</f>
        <v>1.796927546121499E-3</v>
      </c>
    </row>
    <row r="274" spans="1:5">
      <c r="A274" t="s">
        <v>277</v>
      </c>
      <c r="B274">
        <f>標準化權重!B274-每日權重!B274</f>
        <v>0</v>
      </c>
      <c r="C274" s="7">
        <f>標準化權重!C274-每日權重!C274</f>
        <v>5.6901619243260315E-4</v>
      </c>
      <c r="D274" s="7">
        <f>標準化權重!D274-每日權重!D274</f>
        <v>-2.4031731710858484E-3</v>
      </c>
      <c r="E274" s="7">
        <f>標準化權重!E274-每日權重!E274</f>
        <v>1.8341569786533424E-3</v>
      </c>
    </row>
    <row r="275" spans="1:5">
      <c r="A275" t="s">
        <v>278</v>
      </c>
      <c r="B275">
        <f>標準化權重!B275-每日權重!B275</f>
        <v>0</v>
      </c>
      <c r="C275" s="7">
        <f>標準化權重!C275-每日權重!C275</f>
        <v>5.7453259939210799E-4</v>
      </c>
      <c r="D275" s="7">
        <f>標準化權重!D275-每日權重!D275</f>
        <v>-2.4091538763102438E-3</v>
      </c>
      <c r="E275" s="7">
        <f>標準化權重!E275-每日權重!E275</f>
        <v>1.8346212769180525E-3</v>
      </c>
    </row>
    <row r="276" spans="1:5">
      <c r="A276" t="s">
        <v>279</v>
      </c>
      <c r="B276">
        <f>標準化權重!B276-每日權重!B276</f>
        <v>0</v>
      </c>
      <c r="C276" s="7">
        <f>標準化權重!C276-每日權重!C276</f>
        <v>5.6785701799752508E-4</v>
      </c>
      <c r="D276" s="7">
        <f>標準化權重!D276-每日權重!D276</f>
        <v>-2.3897462349227183E-3</v>
      </c>
      <c r="E276" s="7">
        <f>標準化權重!E276-每日權重!E276</f>
        <v>1.8218892169252349E-3</v>
      </c>
    </row>
    <row r="277" spans="1:5">
      <c r="A277" t="s">
        <v>280</v>
      </c>
      <c r="B277">
        <f>標準化權重!B277-每日權重!B277</f>
        <v>0</v>
      </c>
      <c r="C277" s="7">
        <f>標準化權重!C277-每日權重!C277</f>
        <v>5.6792432261014436E-4</v>
      </c>
      <c r="D277" s="7">
        <f>標準化權重!D277-每日權重!D277</f>
        <v>-2.3738725783903902E-3</v>
      </c>
      <c r="E277" s="7">
        <f>標準化權重!E277-每日權重!E277</f>
        <v>1.805948255780232E-3</v>
      </c>
    </row>
    <row r="278" spans="1:5">
      <c r="A278" t="s">
        <v>281</v>
      </c>
      <c r="B278">
        <f>標準化權重!B278-每日權重!B278</f>
        <v>0</v>
      </c>
      <c r="C278" s="7">
        <f>標準化權重!C278-每日權重!C278</f>
        <v>5.7100540318408277E-4</v>
      </c>
      <c r="D278" s="7">
        <f>標準化權重!D278-每日權重!D278</f>
        <v>-2.4406341709567458E-3</v>
      </c>
      <c r="E278" s="7">
        <f>標準化權重!E278-每日權重!E278</f>
        <v>1.8696287677725382E-3</v>
      </c>
    </row>
    <row r="279" spans="1:5">
      <c r="A279" t="s">
        <v>282</v>
      </c>
      <c r="B279">
        <f>標準化權重!B279-每日權重!B279</f>
        <v>0</v>
      </c>
      <c r="C279" s="7">
        <f>標準化權重!C279-每日權重!C279</f>
        <v>5.7353186895627017E-4</v>
      </c>
      <c r="D279" s="7">
        <f>標準化權重!D279-每日權重!D279</f>
        <v>-2.4123788102652366E-3</v>
      </c>
      <c r="E279" s="7">
        <f>標準化權重!E279-每日權重!E279</f>
        <v>1.8388469413089664E-3</v>
      </c>
    </row>
    <row r="280" spans="1:5">
      <c r="A280" t="s">
        <v>283</v>
      </c>
      <c r="B280">
        <f>標準化權重!B280-每日權重!B280</f>
        <v>0</v>
      </c>
      <c r="C280" s="7">
        <f>標準化權重!C280-每日權重!C280</f>
        <v>5.7923958119127095E-4</v>
      </c>
      <c r="D280" s="7">
        <f>標準化權重!D280-每日權重!D280</f>
        <v>-2.4281267568323495E-3</v>
      </c>
      <c r="E280" s="7">
        <f>標準化權重!E280-每日權重!E280</f>
        <v>1.8488871756410091E-3</v>
      </c>
    </row>
    <row r="281" spans="1:5">
      <c r="A281" t="s">
        <v>284</v>
      </c>
      <c r="B281">
        <f>標準化權重!B281-每日權重!B281</f>
        <v>0</v>
      </c>
      <c r="C281" s="7">
        <f>標準化權重!C281-每日權重!C281</f>
        <v>5.7874380752896692E-4</v>
      </c>
      <c r="D281" s="7">
        <f>標準化權重!D281-每日權重!D281</f>
        <v>-2.3975669243866404E-3</v>
      </c>
      <c r="E281" s="7">
        <f>標準化權重!E281-每日權重!E281</f>
        <v>1.8188231168577013E-3</v>
      </c>
    </row>
    <row r="282" spans="1:5">
      <c r="A282" t="s">
        <v>285</v>
      </c>
      <c r="B282">
        <f>標準化權重!B282-每日權重!B282</f>
        <v>0</v>
      </c>
      <c r="C282" s="7">
        <f>標準化權重!C282-每日權重!C282</f>
        <v>5.8977883561944777E-4</v>
      </c>
      <c r="D282" s="7">
        <f>標準化權重!D282-每日權重!D282</f>
        <v>-2.3431621187383067E-3</v>
      </c>
      <c r="E282" s="7">
        <f>標準化權重!E282-每日權重!E282</f>
        <v>1.7533832831188867E-3</v>
      </c>
    </row>
    <row r="283" spans="1:5">
      <c r="A283" t="s">
        <v>286</v>
      </c>
      <c r="B283">
        <f>標準化權重!B283-每日權重!B283</f>
        <v>0</v>
      </c>
      <c r="C283" s="7">
        <f>標準化權重!C283-每日權重!C283</f>
        <v>5.8954751492365509E-4</v>
      </c>
      <c r="D283" s="7">
        <f>標準化權重!D283-每日權重!D283</f>
        <v>-2.372374996006732E-3</v>
      </c>
      <c r="E283" s="7">
        <f>標準化權重!E283-每日權重!E283</f>
        <v>1.7828274810832434E-3</v>
      </c>
    </row>
    <row r="284" spans="1:5">
      <c r="A284" t="s">
        <v>287</v>
      </c>
      <c r="B284">
        <f>標準化權重!B284-每日權重!B284</f>
        <v>0</v>
      </c>
      <c r="C284" s="7">
        <f>標準化權重!C284-每日權重!C284</f>
        <v>5.8669385316333089E-4</v>
      </c>
      <c r="D284" s="7">
        <f>標準化權重!D284-每日權重!D284</f>
        <v>-2.3713460819779764E-3</v>
      </c>
      <c r="E284" s="7">
        <f>標準化權重!E284-每日權重!E284</f>
        <v>1.7846522288147704E-3</v>
      </c>
    </row>
    <row r="285" spans="1:5">
      <c r="A285" t="s">
        <v>288</v>
      </c>
      <c r="B285">
        <f>標準化權重!B285-每日權重!B285</f>
        <v>0</v>
      </c>
      <c r="C285" s="7">
        <f>標準化權重!C285-每日權重!C285</f>
        <v>5.8935647508936984E-4</v>
      </c>
      <c r="D285" s="7">
        <f>標準化權重!D285-每日權重!D285</f>
        <v>-2.3866085207058241E-3</v>
      </c>
      <c r="E285" s="7">
        <f>標準化權重!E285-每日權重!E285</f>
        <v>1.7972520456163571E-3</v>
      </c>
    </row>
    <row r="286" spans="1:5">
      <c r="A286" t="s">
        <v>289</v>
      </c>
      <c r="B286">
        <f>標準化權重!B286-每日權重!B286</f>
        <v>0</v>
      </c>
      <c r="C286" s="7">
        <f>標準化權重!C286-每日權重!C286</f>
        <v>5.9587236971916924E-4</v>
      </c>
      <c r="D286" s="7">
        <f>標準化權重!D286-每日權重!D286</f>
        <v>-2.410441419088305E-3</v>
      </c>
      <c r="E286" s="7">
        <f>標準化權重!E286-每日權重!E286</f>
        <v>1.8145690493691635E-3</v>
      </c>
    </row>
    <row r="287" spans="1:5">
      <c r="A287" t="s">
        <v>290</v>
      </c>
      <c r="B287">
        <f>標準化權重!B287-每日權重!B287</f>
        <v>0</v>
      </c>
      <c r="C287" s="7">
        <f>標準化權重!C287-每日權重!C287</f>
        <v>5.8315845240099196E-4</v>
      </c>
      <c r="D287" s="7">
        <f>標準化權重!D287-每日權重!D287</f>
        <v>-2.4118585795168679E-3</v>
      </c>
      <c r="E287" s="7">
        <f>標準化權重!E287-每日權重!E287</f>
        <v>1.8287001271160286E-3</v>
      </c>
    </row>
    <row r="288" spans="1:5">
      <c r="A288" t="s">
        <v>291</v>
      </c>
      <c r="B288">
        <f>標準化權重!B288-每日權重!B288</f>
        <v>0</v>
      </c>
      <c r="C288" s="7">
        <f>標準化權重!C288-每日權重!C288</f>
        <v>2.6993214899692641E-4</v>
      </c>
      <c r="D288" s="7">
        <f>標準化權重!D288-每日權重!D288</f>
        <v>-1.855640213003884E-3</v>
      </c>
      <c r="E288" s="7">
        <f>標準化權重!E288-每日權重!E288</f>
        <v>1.5857080640069854E-3</v>
      </c>
    </row>
    <row r="289" spans="1:5">
      <c r="A289" t="s">
        <v>292</v>
      </c>
      <c r="B289">
        <f>標準化權重!B289-每日權重!B289</f>
        <v>0</v>
      </c>
      <c r="C289" s="7">
        <f>標準化權重!C289-每日權重!C289</f>
        <v>2.6775142766879978E-4</v>
      </c>
      <c r="D289" s="7">
        <f>標準化權重!D289-每日權重!D289</f>
        <v>-1.871146603114715E-3</v>
      </c>
      <c r="E289" s="7">
        <f>標準化權重!E289-每日權重!E289</f>
        <v>1.6033951754459014E-3</v>
      </c>
    </row>
    <row r="290" spans="1:5">
      <c r="A290" t="s">
        <v>293</v>
      </c>
      <c r="B290">
        <f>標準化權重!B290-每日權重!B290</f>
        <v>0</v>
      </c>
      <c r="C290" s="7">
        <f>標準化權重!C290-每日權重!C290</f>
        <v>2.6572486411571838E-4</v>
      </c>
      <c r="D290" s="7">
        <f>標準化權重!D290-每日權重!D290</f>
        <v>-1.8446078323175463E-3</v>
      </c>
      <c r="E290" s="7">
        <f>標準化權重!E290-每日權重!E290</f>
        <v>1.578882968201703E-3</v>
      </c>
    </row>
    <row r="291" spans="1:5">
      <c r="A291" t="s">
        <v>294</v>
      </c>
      <c r="B291">
        <f>標準化權重!B291-每日權重!B291</f>
        <v>0</v>
      </c>
      <c r="C291" s="7">
        <f>標準化權重!C291-每日權重!C291</f>
        <v>2.659548817450369E-4</v>
      </c>
      <c r="D291" s="7">
        <f>標準化權重!D291-每日權重!D291</f>
        <v>-1.8571311329744766E-3</v>
      </c>
      <c r="E291" s="7">
        <f>標準化權重!E291-每日權重!E291</f>
        <v>1.5911762512294675E-3</v>
      </c>
    </row>
    <row r="292" spans="1:5">
      <c r="A292" t="s">
        <v>295</v>
      </c>
      <c r="B292">
        <f>標準化權重!B292-每日權重!B292</f>
        <v>0</v>
      </c>
      <c r="C292" s="7">
        <f>標準化權重!C292-每日權重!C292</f>
        <v>2.6321994049316455E-4</v>
      </c>
      <c r="D292" s="7">
        <f>標準化權重!D292-每日權重!D292</f>
        <v>-1.8561227593100194E-3</v>
      </c>
      <c r="E292" s="7">
        <f>標準化權重!E292-每日權重!E292</f>
        <v>1.5929028188168826E-3</v>
      </c>
    </row>
    <row r="293" spans="1:5">
      <c r="A293" t="s">
        <v>296</v>
      </c>
      <c r="B293">
        <f>標準化權重!B293-每日權重!B293</f>
        <v>0</v>
      </c>
      <c r="C293" s="7">
        <f>標準化權重!C293-每日權重!C293</f>
        <v>2.6021554242627865E-4</v>
      </c>
      <c r="D293" s="7">
        <f>標準化權重!D293-每日權重!D293</f>
        <v>-1.8697023408964508E-3</v>
      </c>
      <c r="E293" s="7">
        <f>標準化權重!E293-每日權重!E293</f>
        <v>1.6094867984702277E-3</v>
      </c>
    </row>
    <row r="294" spans="1:5">
      <c r="A294" t="s">
        <v>297</v>
      </c>
      <c r="B294">
        <f>標準化權重!B294-每日權重!B294</f>
        <v>0</v>
      </c>
      <c r="C294" s="7">
        <f>標準化權重!C294-每日權重!C294</f>
        <v>2.6330268874773244E-4</v>
      </c>
      <c r="D294" s="7">
        <f>標準化權重!D294-每日權重!D294</f>
        <v>-1.8753456167331928E-3</v>
      </c>
      <c r="E294" s="7">
        <f>標準化權重!E294-每日權重!E294</f>
        <v>1.6120429279854326E-3</v>
      </c>
    </row>
    <row r="295" spans="1:5">
      <c r="A295" t="s">
        <v>298</v>
      </c>
      <c r="B295">
        <f>標準化權重!B295-每日權重!B295</f>
        <v>0</v>
      </c>
      <c r="C295" s="7">
        <f>標準化權重!C295-每日權重!C295</f>
        <v>2.604753205380228E-4</v>
      </c>
      <c r="D295" s="7">
        <f>標準化權重!D295-每日權重!D295</f>
        <v>-1.8777775970885147E-3</v>
      </c>
      <c r="E295" s="7">
        <f>標準化權重!E295-每日權重!E295</f>
        <v>1.6173022765503531E-3</v>
      </c>
    </row>
    <row r="296" spans="1:5">
      <c r="A296" t="s">
        <v>299</v>
      </c>
      <c r="B296">
        <f>標準化權重!B296-每日權重!B296</f>
        <v>0</v>
      </c>
      <c r="C296" s="7">
        <f>標準化權重!C296-每日權重!C296</f>
        <v>2.5382189041688041E-4</v>
      </c>
      <c r="D296" s="7">
        <f>標準化權重!D296-每日權重!D296</f>
        <v>-1.8661139869332599E-3</v>
      </c>
      <c r="E296" s="7">
        <f>標準化權重!E296-每日權重!E296</f>
        <v>1.6122920965163379E-3</v>
      </c>
    </row>
    <row r="297" spans="1:5">
      <c r="A297" t="s">
        <v>300</v>
      </c>
      <c r="B297">
        <f>標準化權重!B297-每日權重!B297</f>
        <v>0</v>
      </c>
      <c r="C297" s="7">
        <f>標準化權重!C297-每日權重!C297</f>
        <v>2.530589318458093E-4</v>
      </c>
      <c r="D297" s="7">
        <f>標準化權重!D297-每日權重!D297</f>
        <v>-1.8563777312972096E-3</v>
      </c>
      <c r="E297" s="7">
        <f>標準化權重!E297-每日權重!E297</f>
        <v>1.6033187994512338E-3</v>
      </c>
    </row>
    <row r="298" spans="1:5">
      <c r="A298" t="s">
        <v>301</v>
      </c>
      <c r="B298">
        <f>標準化權重!B298-每日權重!B298</f>
        <v>0</v>
      </c>
      <c r="C298" s="7">
        <f>標準化權重!C298-每日權重!C298</f>
        <v>2.521296099427528E-4</v>
      </c>
      <c r="D298" s="7">
        <f>標準化權重!D298-每日權重!D298</f>
        <v>-1.8719105230823319E-3</v>
      </c>
      <c r="E298" s="7">
        <f>標準化權重!E298-每日權重!E298</f>
        <v>1.6197809131395097E-3</v>
      </c>
    </row>
    <row r="299" spans="1:5">
      <c r="A299" t="s">
        <v>302</v>
      </c>
      <c r="B299">
        <f>標準化權重!B299-每日權重!B299</f>
        <v>0</v>
      </c>
      <c r="C299" s="7">
        <f>標準化權重!C299-每日權重!C299</f>
        <v>2.5680813769420052E-4</v>
      </c>
      <c r="D299" s="7">
        <f>標準化權重!D299-每日權重!D299</f>
        <v>-1.8543458104316457E-3</v>
      </c>
      <c r="E299" s="7">
        <f>標準化權重!E299-每日權重!E299</f>
        <v>1.597537672737348E-3</v>
      </c>
    </row>
    <row r="300" spans="1:5">
      <c r="A300" t="s">
        <v>303</v>
      </c>
      <c r="B300">
        <f>標準化權重!B300-每日權重!B300</f>
        <v>0</v>
      </c>
      <c r="C300" s="7">
        <f>標準化權重!C300-每日權重!C300</f>
        <v>2.5696992057529233E-4</v>
      </c>
      <c r="D300" s="7">
        <f>標準化權重!D300-每日權重!D300</f>
        <v>-1.8575341466380291E-3</v>
      </c>
      <c r="E300" s="7">
        <f>標準化權重!E300-每日權重!E300</f>
        <v>1.60056422606282E-3</v>
      </c>
    </row>
    <row r="301" spans="1:5">
      <c r="A301" t="s">
        <v>304</v>
      </c>
      <c r="B301">
        <f>標準化權重!B301-每日權重!B301</f>
        <v>0</v>
      </c>
      <c r="C301" s="7">
        <f>標準化權重!C301-每日權重!C301</f>
        <v>2.4179037727393993E-4</v>
      </c>
      <c r="D301" s="7">
        <f>標準化權重!D301-每日權重!D301</f>
        <v>-1.8660844348564742E-3</v>
      </c>
      <c r="E301" s="7">
        <f>標準化權重!E301-每日權重!E301</f>
        <v>1.6242940575825898E-3</v>
      </c>
    </row>
    <row r="302" spans="1:5">
      <c r="A302" t="s">
        <v>305</v>
      </c>
      <c r="B302">
        <f>標準化權重!B302-每日權重!B302</f>
        <v>0</v>
      </c>
      <c r="C302" s="7">
        <f>標準化權重!C302-每日權重!C302</f>
        <v>2.3104878398688689E-4</v>
      </c>
      <c r="D302" s="7">
        <f>標準化權重!D302-每日權重!D302</f>
        <v>-1.8329650450689128E-3</v>
      </c>
      <c r="E302" s="7">
        <f>標準化權重!E302-每日權重!E302</f>
        <v>1.6019162610818594E-3</v>
      </c>
    </row>
    <row r="303" spans="1:5">
      <c r="A303" t="s">
        <v>306</v>
      </c>
      <c r="B303">
        <f>標準化權重!B303-每日權重!B303</f>
        <v>0</v>
      </c>
      <c r="C303" s="7">
        <f>標準化權重!C303-每日權重!C303</f>
        <v>2.3101756553414732E-4</v>
      </c>
      <c r="D303" s="7">
        <f>標準化權重!D303-每日權重!D303</f>
        <v>-1.8302528269078522E-3</v>
      </c>
      <c r="E303" s="7">
        <f>標準化權重!E303-每日權重!E303</f>
        <v>1.599235261373691E-3</v>
      </c>
    </row>
    <row r="304" spans="1:5">
      <c r="A304" t="s">
        <v>307</v>
      </c>
      <c r="B304">
        <f>標準化權重!B304-每日權重!B304</f>
        <v>0</v>
      </c>
      <c r="C304" s="7">
        <f>標準化權重!C304-每日權重!C304</f>
        <v>2.3804775815707002E-4</v>
      </c>
      <c r="D304" s="7">
        <f>標準化權重!D304-每日權重!D304</f>
        <v>-1.876225326948866E-3</v>
      </c>
      <c r="E304" s="7">
        <f>標準化權重!E304-每日權重!E304</f>
        <v>1.6381775687918931E-3</v>
      </c>
    </row>
    <row r="305" spans="1:5">
      <c r="A305" t="s">
        <v>308</v>
      </c>
      <c r="B305">
        <f>標準化權重!B305-每日權重!B305</f>
        <v>0</v>
      </c>
      <c r="C305" s="7">
        <f>標準化權重!C305-每日權重!C305</f>
        <v>2.4459436665863477E-4</v>
      </c>
      <c r="D305" s="7">
        <f>標準化權重!D305-每日權重!D305</f>
        <v>-1.9282399346974843E-3</v>
      </c>
      <c r="E305" s="7">
        <f>標準化權重!E305-每日權重!E305</f>
        <v>1.6836455680388634E-3</v>
      </c>
    </row>
    <row r="306" spans="1:5">
      <c r="A306" t="s">
        <v>309</v>
      </c>
      <c r="B306">
        <f>標準化權重!B306-每日權重!B306</f>
        <v>0</v>
      </c>
      <c r="C306" s="7">
        <f>標準化權重!C306-每日權重!C306</f>
        <v>2.4664588450316882E-4</v>
      </c>
      <c r="D306" s="7">
        <f>標準化權重!D306-每日權重!D306</f>
        <v>-1.8968748880298092E-3</v>
      </c>
      <c r="E306" s="7">
        <f>標準化權重!E306-每日權重!E306</f>
        <v>1.6502290035265293E-3</v>
      </c>
    </row>
    <row r="307" spans="1:5">
      <c r="A307" t="s">
        <v>310</v>
      </c>
      <c r="B307">
        <f>標準化權重!B307-每日權重!B307</f>
        <v>0</v>
      </c>
      <c r="C307" s="7">
        <f>標準化權重!C307-每日權重!C307</f>
        <v>2.4513678205734246E-4</v>
      </c>
      <c r="D307" s="7">
        <f>標準化權重!D307-每日權重!D307</f>
        <v>-1.9104907106068936E-3</v>
      </c>
      <c r="E307" s="7">
        <f>標準化權重!E307-每日權重!E307</f>
        <v>1.6653539285495789E-3</v>
      </c>
    </row>
    <row r="308" spans="1:5">
      <c r="A308" t="s">
        <v>311</v>
      </c>
      <c r="B308">
        <f>標準化權重!B308-每日權重!B308</f>
        <v>0</v>
      </c>
      <c r="C308" s="7">
        <f>標準化權重!C308-每日權重!C308</f>
        <v>2.460428918733687E-4</v>
      </c>
      <c r="D308" s="7">
        <f>標準化權重!D308-每日權重!D308</f>
        <v>-1.8989720344452232E-3</v>
      </c>
      <c r="E308" s="7">
        <f>標準化權重!E308-每日權重!E308</f>
        <v>1.6529291425720072E-3</v>
      </c>
    </row>
    <row r="309" spans="1:5">
      <c r="A309" t="s">
        <v>312</v>
      </c>
      <c r="B309">
        <f>標準化權重!B309-每日權重!B309</f>
        <v>0</v>
      </c>
      <c r="C309" s="7">
        <f>標準化權重!C309-每日權重!C309</f>
        <v>2.4477425396959851E-4</v>
      </c>
      <c r="D309" s="7">
        <f>標準化權重!D309-每日權重!D309</f>
        <v>-1.9180362156234754E-3</v>
      </c>
      <c r="E309" s="7">
        <f>標準化權重!E309-每日權重!E309</f>
        <v>1.6732619616539601E-3</v>
      </c>
    </row>
    <row r="310" spans="1:5">
      <c r="A310" t="s">
        <v>313</v>
      </c>
      <c r="B310">
        <f>標準化權重!B310-每日權重!B310</f>
        <v>0</v>
      </c>
      <c r="C310" s="7">
        <f>標準化權重!C310-每日權重!C310</f>
        <v>2.4965557088432733E-4</v>
      </c>
      <c r="D310" s="7">
        <f>標準化權重!D310-每日權重!D310</f>
        <v>-1.9236196881889933E-3</v>
      </c>
      <c r="E310" s="7">
        <f>標準化權重!E310-每日權重!E310</f>
        <v>1.6739641173046521E-3</v>
      </c>
    </row>
    <row r="311" spans="1:5">
      <c r="A311" t="s">
        <v>314</v>
      </c>
      <c r="B311">
        <f>標準化權重!B311-每日權重!B311</f>
        <v>0</v>
      </c>
      <c r="C311" s="7">
        <f>標準化權重!C311-每日權重!C311</f>
        <v>2.4898814413346071E-4</v>
      </c>
      <c r="D311" s="7">
        <f>標準化權重!D311-每日權重!D311</f>
        <v>-1.909044696290163E-3</v>
      </c>
      <c r="E311" s="7">
        <f>標準化權重!E311-每日權重!E311</f>
        <v>1.6600565521567856E-3</v>
      </c>
    </row>
    <row r="312" spans="1:5">
      <c r="A312" t="s">
        <v>315</v>
      </c>
      <c r="B312">
        <f>標準化權重!B312-每日權重!B312</f>
        <v>0</v>
      </c>
      <c r="C312" s="7">
        <f>標準化權重!C312-每日權重!C312</f>
        <v>2.4772591993398041E-4</v>
      </c>
      <c r="D312" s="7">
        <f>標準化權重!D312-每日權重!D312</f>
        <v>-1.8890710416739065E-3</v>
      </c>
      <c r="E312" s="7">
        <f>標準化權重!E312-每日權重!E312</f>
        <v>1.6413451217399955E-3</v>
      </c>
    </row>
    <row r="313" spans="1:5">
      <c r="A313" t="s">
        <v>316</v>
      </c>
      <c r="B313">
        <f>標準化權重!B313-每日權重!B313</f>
        <v>0</v>
      </c>
      <c r="C313" s="7">
        <f>標準化權重!C313-每日權重!C313</f>
        <v>2.4870051219362532E-4</v>
      </c>
      <c r="D313" s="7">
        <f>標準化權重!D313-每日權重!D313</f>
        <v>-1.8646478804092981E-3</v>
      </c>
      <c r="E313" s="7">
        <f>標準化權重!E313-每日權重!E313</f>
        <v>1.6159473682157838E-3</v>
      </c>
    </row>
    <row r="314" spans="1:5">
      <c r="A314" t="s">
        <v>317</v>
      </c>
      <c r="B314">
        <f>標準化權重!B314-每日權重!B314</f>
        <v>0</v>
      </c>
      <c r="C314" s="7">
        <f>標準化權重!C314-每日權重!C314</f>
        <v>2.454575102839307E-4</v>
      </c>
      <c r="D314" s="7">
        <f>標準化權重!D314-每日權重!D314</f>
        <v>-1.8756720084278644E-3</v>
      </c>
      <c r="E314" s="7">
        <f>標準化權重!E314-每日權重!E314</f>
        <v>1.6302144981439337E-3</v>
      </c>
    </row>
    <row r="315" spans="1:5">
      <c r="A315" t="s">
        <v>318</v>
      </c>
      <c r="B315">
        <f>標準化權重!B315-每日權重!B315</f>
        <v>0</v>
      </c>
      <c r="C315" s="7">
        <f>標準化權重!C315-每日權重!C315</f>
        <v>2.5291905723520691E-4</v>
      </c>
      <c r="D315" s="7">
        <f>標準化權重!D315-每日權重!D315</f>
        <v>-1.8375787030804336E-3</v>
      </c>
      <c r="E315" s="7">
        <f>標準化權重!E315-每日權重!E315</f>
        <v>1.5846596458452405E-3</v>
      </c>
    </row>
    <row r="316" spans="1:5">
      <c r="A316" t="s">
        <v>319</v>
      </c>
      <c r="B316">
        <f>標準化權重!B316-每日權重!B316</f>
        <v>0</v>
      </c>
      <c r="C316" s="7">
        <f>標準化權重!C316-每日權重!C316</f>
        <v>2.5125079394511252E-4</v>
      </c>
      <c r="D316" s="7">
        <f>標準化權重!D316-每日權重!D316</f>
        <v>-1.8485141704729369E-3</v>
      </c>
      <c r="E316" s="7">
        <f>標準化權重!E316-每日權重!E316</f>
        <v>1.5972633765279354E-3</v>
      </c>
    </row>
    <row r="317" spans="1:5">
      <c r="A317" t="s">
        <v>320</v>
      </c>
      <c r="B317">
        <f>標準化權重!B317-每日權重!B317</f>
        <v>0</v>
      </c>
      <c r="C317" s="7">
        <f>標準化權重!C317-每日權重!C317</f>
        <v>2.5037969537805571E-4</v>
      </c>
      <c r="D317" s="7">
        <f>標準化權重!D317-每日權重!D317</f>
        <v>-1.8212582193717353E-3</v>
      </c>
      <c r="E317" s="7">
        <f>標準化權重!E317-每日權重!E317</f>
        <v>1.5708785239938183E-3</v>
      </c>
    </row>
    <row r="318" spans="1:5">
      <c r="A318" t="s">
        <v>321</v>
      </c>
      <c r="B318">
        <f>標準化權重!B318-每日權重!B318</f>
        <v>0</v>
      </c>
      <c r="C318" s="7">
        <f>標準化權重!C318-每日權重!C318</f>
        <v>2.6004350279593136E-4</v>
      </c>
      <c r="D318" s="7">
        <f>標準化權重!D318-每日權重!D318</f>
        <v>-1.7238208761135576E-3</v>
      </c>
      <c r="E318" s="7">
        <f>標準化權重!E318-每日權重!E318</f>
        <v>1.463777373317543E-3</v>
      </c>
    </row>
    <row r="319" spans="1:5">
      <c r="A319" t="s">
        <v>322</v>
      </c>
      <c r="B319">
        <f>標準化權重!B319-每日權重!B319</f>
        <v>0</v>
      </c>
      <c r="C319" s="7">
        <f>標準化權重!C319-每日權重!C319</f>
        <v>2.5415694271430089E-4</v>
      </c>
      <c r="D319" s="7">
        <f>標準化權重!D319-每日權重!D319</f>
        <v>-1.7317808945747082E-3</v>
      </c>
      <c r="E319" s="7">
        <f>標準化權重!E319-每日權重!E319</f>
        <v>1.477623951860435E-3</v>
      </c>
    </row>
    <row r="320" spans="1:5">
      <c r="A320" t="s">
        <v>323</v>
      </c>
      <c r="B320">
        <f>標準化權重!B320-每日權重!B320</f>
        <v>0</v>
      </c>
      <c r="C320" s="7">
        <f>標準化權重!C320-每日權重!C320</f>
        <v>2.6288157860418493E-4</v>
      </c>
      <c r="D320" s="7">
        <f>標準化權重!D320-每日權重!D320</f>
        <v>-1.744938189007561E-3</v>
      </c>
      <c r="E320" s="7">
        <f>標準化權重!E320-每日權重!E320</f>
        <v>1.4820566104033761E-3</v>
      </c>
    </row>
    <row r="321" spans="1:5">
      <c r="A321" t="s">
        <v>324</v>
      </c>
      <c r="B321">
        <f>標準化權重!B321-每日權重!B321</f>
        <v>0</v>
      </c>
      <c r="C321" s="7">
        <f>標準化權重!C321-每日權重!C321</f>
        <v>2.609661860546314E-4</v>
      </c>
      <c r="D321" s="7">
        <f>標準化權重!D321-每日權重!D321</f>
        <v>-1.7290250558616993E-3</v>
      </c>
      <c r="E321" s="7">
        <f>標準化權重!E321-每日權重!E321</f>
        <v>1.4680588698068042E-3</v>
      </c>
    </row>
    <row r="322" spans="1:5">
      <c r="A322" t="s">
        <v>325</v>
      </c>
      <c r="B322">
        <f>標準化權重!B322-每日權重!B322</f>
        <v>0</v>
      </c>
      <c r="C322" s="7">
        <f>標準化權重!C322-每日權重!C322</f>
        <v>2.6210924768567401E-4</v>
      </c>
      <c r="D322" s="7">
        <f>標準化權重!D322-每日權重!D322</f>
        <v>-1.7566038580190124E-3</v>
      </c>
      <c r="E322" s="7">
        <f>標準化權重!E322-每日權重!E322</f>
        <v>1.4944946103333384E-3</v>
      </c>
    </row>
    <row r="323" spans="1:5">
      <c r="A323" t="s">
        <v>326</v>
      </c>
      <c r="B323">
        <f>標準化權重!B323-每日權重!B323</f>
        <v>0</v>
      </c>
      <c r="C323" s="7">
        <f>標準化權重!C323-每日權重!C323</f>
        <v>2.5705088509953011E-4</v>
      </c>
      <c r="D323" s="7">
        <f>標準化權重!D323-每日權重!D323</f>
        <v>-1.7466160952201992E-3</v>
      </c>
      <c r="E323" s="7">
        <f>標準化權重!E323-每日權重!E323</f>
        <v>1.4895652101203777E-3</v>
      </c>
    </row>
    <row r="324" spans="1:5">
      <c r="A324" t="s">
        <v>327</v>
      </c>
      <c r="B324">
        <f>標準化權重!B324-每日權重!B324</f>
        <v>0</v>
      </c>
      <c r="C324" s="7">
        <f>標準化權重!C324-每日權重!C324</f>
        <v>2.661213897801884E-4</v>
      </c>
      <c r="D324" s="7">
        <f>標準化權重!D324-每日權重!D324</f>
        <v>-1.7314764385242265E-3</v>
      </c>
      <c r="E324" s="7">
        <f>標準化權重!E324-每日權重!E324</f>
        <v>1.4653550487441491E-3</v>
      </c>
    </row>
    <row r="325" spans="1:5">
      <c r="A325" t="s">
        <v>328</v>
      </c>
      <c r="B325">
        <f>標準化權重!B325-每日權重!B325</f>
        <v>0</v>
      </c>
      <c r="C325" s="7">
        <f>標準化權重!C325-每日權重!C325</f>
        <v>2.6837795803669184E-4</v>
      </c>
      <c r="D325" s="7">
        <f>標準化權重!D325-每日權重!D325</f>
        <v>-1.7534050924977729E-3</v>
      </c>
      <c r="E325" s="7">
        <f>標準化權重!E325-每日權重!E325</f>
        <v>1.485027134461081E-3</v>
      </c>
    </row>
    <row r="326" spans="1:5">
      <c r="A326" t="s">
        <v>329</v>
      </c>
      <c r="B326">
        <f>標準化權重!B326-每日權重!B326</f>
        <v>0</v>
      </c>
      <c r="C326" s="7">
        <f>標準化權重!C326-每日權重!C326</f>
        <v>2.7196582395182245E-4</v>
      </c>
      <c r="D326" s="7">
        <f>標準化權重!D326-每日權重!D326</f>
        <v>-1.7230709812964262E-3</v>
      </c>
      <c r="E326" s="7">
        <f>標準化權重!E326-每日權重!E326</f>
        <v>1.4511051573445899E-3</v>
      </c>
    </row>
    <row r="327" spans="1:5">
      <c r="A327" t="s">
        <v>330</v>
      </c>
      <c r="B327">
        <f>標準化權重!B327-每日權重!B327</f>
        <v>0</v>
      </c>
      <c r="C327" s="7">
        <f>標準化權重!C327-每日權重!C327</f>
        <v>2.6667515791765906E-4</v>
      </c>
      <c r="D327" s="7">
        <f>標準化權重!D327-每日權重!D327</f>
        <v>-1.7365475742497916E-3</v>
      </c>
      <c r="E327" s="7">
        <f>標準化權重!E327-每日權重!E327</f>
        <v>1.4698724163320631E-3</v>
      </c>
    </row>
    <row r="328" spans="1:5">
      <c r="A328" t="s">
        <v>331</v>
      </c>
      <c r="B328">
        <f>標準化權重!B328-每日權重!B328</f>
        <v>0</v>
      </c>
      <c r="C328" s="7">
        <f>標準化權重!C328-每日權重!C328</f>
        <v>2.6447984986061046E-4</v>
      </c>
      <c r="D328" s="7">
        <f>標準化權重!D328-每日權重!D328</f>
        <v>-1.7252270687725391E-3</v>
      </c>
      <c r="E328" s="7">
        <f>標準化權重!E328-每日權重!E328</f>
        <v>1.460747218912109E-3</v>
      </c>
    </row>
    <row r="329" spans="1:5">
      <c r="A329" t="s">
        <v>332</v>
      </c>
      <c r="B329">
        <f>標準化權重!B329-每日權重!B329</f>
        <v>0</v>
      </c>
      <c r="C329" s="7">
        <f>標準化權重!C329-每日權重!C329</f>
        <v>2.6517374818642303E-4</v>
      </c>
      <c r="D329" s="7">
        <f>標準化權重!D329-每日權重!D329</f>
        <v>-1.6936954788909775E-3</v>
      </c>
      <c r="E329" s="7">
        <f>標準化權重!E329-每日權重!E329</f>
        <v>1.4285217307047904E-3</v>
      </c>
    </row>
    <row r="330" spans="1:5">
      <c r="A330" t="s">
        <v>333</v>
      </c>
      <c r="B330">
        <f>標準化權重!B330-每日權重!B330</f>
        <v>0</v>
      </c>
      <c r="C330" s="7">
        <f>標準化權重!C330-每日權重!C330</f>
        <v>2.6535861894030899E-4</v>
      </c>
      <c r="D330" s="7">
        <f>標準化權重!D330-每日權重!D330</f>
        <v>-1.7054303000063609E-3</v>
      </c>
      <c r="E330" s="7">
        <f>標準化權重!E330-每日權重!E330</f>
        <v>1.4400716810661074E-3</v>
      </c>
    </row>
    <row r="331" spans="1:5">
      <c r="A331" t="s">
        <v>334</v>
      </c>
      <c r="B331">
        <f>標準化權重!B331-每日權重!B331</f>
        <v>0</v>
      </c>
      <c r="C331" s="7">
        <f>標準化權重!C331-每日權重!C331</f>
        <v>2.6325329023967059E-4</v>
      </c>
      <c r="D331" s="7">
        <f>標準化權重!D331-每日權重!D331</f>
        <v>-1.712292310971697E-3</v>
      </c>
      <c r="E331" s="7">
        <f>標準化權重!E331-每日權重!E331</f>
        <v>1.4490390207319986E-3</v>
      </c>
    </row>
    <row r="332" spans="1:5">
      <c r="A332" t="s">
        <v>335</v>
      </c>
      <c r="B332">
        <f>標準化權重!B332-每日權重!B332</f>
        <v>0</v>
      </c>
      <c r="C332" s="7">
        <f>標準化權重!C332-每日權重!C332</f>
        <v>2.6253799284159385E-4</v>
      </c>
      <c r="D332" s="7">
        <f>標準化權重!D332-每日權重!D332</f>
        <v>-1.7082477900707271E-3</v>
      </c>
      <c r="E332" s="7">
        <f>標準化權重!E332-每日權重!E332</f>
        <v>1.4457097972292027E-3</v>
      </c>
    </row>
    <row r="333" spans="1:5">
      <c r="A333" t="s">
        <v>336</v>
      </c>
      <c r="B333">
        <f>標準化權重!B333-每日權重!B333</f>
        <v>0</v>
      </c>
      <c r="C333" s="7">
        <f>標準化權重!C333-每日權重!C333</f>
        <v>2.6471384417729726E-4</v>
      </c>
      <c r="D333" s="7">
        <f>標準化權重!D333-每日權重!D333</f>
        <v>-1.6979439666541252E-3</v>
      </c>
      <c r="E333" s="7">
        <f>標準化權重!E333-每日權重!E333</f>
        <v>1.433230122476703E-3</v>
      </c>
    </row>
    <row r="334" spans="1:5">
      <c r="A334" t="s">
        <v>337</v>
      </c>
      <c r="B334">
        <f>標準化權重!B334-每日權重!B334</f>
        <v>0</v>
      </c>
      <c r="C334" s="7">
        <f>標準化權重!C334-每日權重!C334</f>
        <v>2.6734947416603982E-4</v>
      </c>
      <c r="D334" s="7">
        <f>標準化權重!D334-每日權重!D334</f>
        <v>-1.6772554441109033E-3</v>
      </c>
      <c r="E334" s="7">
        <f>標準化權重!E334-每日權重!E334</f>
        <v>1.4099059699450994E-3</v>
      </c>
    </row>
    <row r="335" spans="1:5">
      <c r="A335" t="s">
        <v>338</v>
      </c>
      <c r="B335">
        <f>標準化權重!B335-每日權重!B335</f>
        <v>0</v>
      </c>
      <c r="C335" s="7">
        <f>標準化權重!C335-每日權重!C335</f>
        <v>2.6708049768989217E-4</v>
      </c>
      <c r="D335" s="7">
        <f>標準化權重!D335-每日權重!D335</f>
        <v>-1.6903047583571862E-3</v>
      </c>
      <c r="E335" s="7">
        <f>標準化權重!E335-每日權重!E335</f>
        <v>1.4232242606673495E-3</v>
      </c>
    </row>
    <row r="336" spans="1:5">
      <c r="A336" t="s">
        <v>339</v>
      </c>
      <c r="B336">
        <f>標準化權重!B336-每日權重!B336</f>
        <v>0</v>
      </c>
      <c r="C336" s="7">
        <f>標準化權重!C336-每日權重!C336</f>
        <v>2.6685736265476268E-4</v>
      </c>
      <c r="D336" s="7">
        <f>標準化權重!D336-每日權重!D336</f>
        <v>-1.6877856691634996E-3</v>
      </c>
      <c r="E336" s="7">
        <f>標準化權重!E336-每日權重!E336</f>
        <v>1.4209283065088896E-3</v>
      </c>
    </row>
    <row r="337" spans="1:5">
      <c r="A337" t="s">
        <v>340</v>
      </c>
      <c r="B337">
        <f>標準化權重!B337-每日權重!B337</f>
        <v>0</v>
      </c>
      <c r="C337" s="7">
        <f>標準化權重!C337-每日權重!C337</f>
        <v>2.7477103542108972E-4</v>
      </c>
      <c r="D337" s="7">
        <f>標準化權重!D337-每日權重!D337</f>
        <v>-1.6733310130984114E-3</v>
      </c>
      <c r="E337" s="7">
        <f>標準化權重!E337-每日權重!E337</f>
        <v>1.39855997767728E-3</v>
      </c>
    </row>
    <row r="338" spans="1:5">
      <c r="A338" t="s">
        <v>341</v>
      </c>
      <c r="B338">
        <f>標準化權重!B338-每日權重!B338</f>
        <v>0</v>
      </c>
      <c r="C338" s="7">
        <f>標準化權重!C338-每日權重!C338</f>
        <v>2.7190726545459065E-4</v>
      </c>
      <c r="D338" s="7">
        <f>標準化權重!D338-每日權重!D338</f>
        <v>-1.6973931900634565E-3</v>
      </c>
      <c r="E338" s="7">
        <f>標準化權重!E338-每日權重!E338</f>
        <v>1.4254859246088242E-3</v>
      </c>
    </row>
    <row r="339" spans="1:5">
      <c r="A339" t="s">
        <v>342</v>
      </c>
      <c r="B339">
        <f>標準化權重!B339-每日權重!B339</f>
        <v>0</v>
      </c>
      <c r="C339" s="7">
        <f>標準化權重!C339-每日權重!C339</f>
        <v>2.6847811107640063E-4</v>
      </c>
      <c r="D339" s="7">
        <f>標準化權重!D339-每日權重!D339</f>
        <v>-1.7047075714526905E-3</v>
      </c>
      <c r="E339" s="7">
        <f>標準化權重!E339-每日權重!E339</f>
        <v>1.4362294603762482E-3</v>
      </c>
    </row>
    <row r="340" spans="1:5">
      <c r="A340" t="s">
        <v>343</v>
      </c>
      <c r="B340">
        <f>標準化權重!B340-每日權重!B340</f>
        <v>0</v>
      </c>
      <c r="C340" s="7">
        <f>標準化權重!C340-每日權重!C340</f>
        <v>2.7069805227064592E-4</v>
      </c>
      <c r="D340" s="7">
        <f>標準化權重!D340-每日權重!D340</f>
        <v>-1.6579718088657325E-3</v>
      </c>
      <c r="E340" s="7">
        <f>標準化權重!E340-每日權重!E340</f>
        <v>1.3872737565952392E-3</v>
      </c>
    </row>
    <row r="341" spans="1:5">
      <c r="A341" t="s">
        <v>344</v>
      </c>
      <c r="B341">
        <f>標準化權重!B341-每日權重!B341</f>
        <v>0</v>
      </c>
      <c r="C341" s="7">
        <f>標準化權重!C341-每日權重!C341</f>
        <v>2.7178929656747342E-4</v>
      </c>
      <c r="D341" s="7">
        <f>標準化權重!D341-每日權重!D341</f>
        <v>-1.6224258704333749E-3</v>
      </c>
      <c r="E341" s="7">
        <f>標準化權重!E341-每日權重!E341</f>
        <v>1.3506365738661097E-3</v>
      </c>
    </row>
    <row r="342" spans="1:5">
      <c r="A342" t="s">
        <v>345</v>
      </c>
      <c r="B342">
        <f>標準化權重!B342-每日權重!B342</f>
        <v>0</v>
      </c>
      <c r="C342" s="7">
        <f>標準化權重!C342-每日權重!C342</f>
        <v>2.6521468121483427E-4</v>
      </c>
      <c r="D342" s="7">
        <f>標準化權重!D342-每日權重!D342</f>
        <v>-1.6539955497795189E-3</v>
      </c>
      <c r="E342" s="7">
        <f>標準化權重!E342-每日權重!E342</f>
        <v>1.3887808685647401E-3</v>
      </c>
    </row>
    <row r="343" spans="1:5">
      <c r="A343" t="s">
        <v>346</v>
      </c>
      <c r="B343">
        <f>標準化權重!B343-每日權重!B343</f>
        <v>0</v>
      </c>
      <c r="C343" s="7">
        <f>標準化權重!C343-每日權重!C343</f>
        <v>2.6586370982004115E-4</v>
      </c>
      <c r="D343" s="7">
        <f>標準化權重!D343-每日權重!D343</f>
        <v>-1.6473328056897385E-3</v>
      </c>
      <c r="E343" s="7">
        <f>標準化權重!E343-每日權重!E343</f>
        <v>1.381469095869739E-3</v>
      </c>
    </row>
    <row r="344" spans="1:5">
      <c r="A344" t="s">
        <v>347</v>
      </c>
      <c r="B344">
        <f>標準化權重!B344-每日權重!B344</f>
        <v>0</v>
      </c>
      <c r="C344" s="7">
        <f>標準化權重!C344-每日權重!C344</f>
        <v>2.5860965887022913E-4</v>
      </c>
      <c r="D344" s="7">
        <f>標準化權重!D344-每日權重!D344</f>
        <v>-1.6427506495908517E-3</v>
      </c>
      <c r="E344" s="7">
        <f>標準化權重!E344-每日權重!E344</f>
        <v>1.3841409907207197E-3</v>
      </c>
    </row>
    <row r="345" spans="1:5">
      <c r="A345" t="s">
        <v>348</v>
      </c>
      <c r="B345">
        <f>標準化權重!B345-每日權重!B345</f>
        <v>0</v>
      </c>
      <c r="C345" s="7">
        <f>標準化權重!C345-每日權重!C345</f>
        <v>2.5883241095926712E-4</v>
      </c>
      <c r="D345" s="7">
        <f>標準化權重!D345-每日權重!D345</f>
        <v>-1.6042419061922386E-3</v>
      </c>
      <c r="E345" s="7">
        <f>標準化權重!E345-每日權重!E345</f>
        <v>1.3454094952329299E-3</v>
      </c>
    </row>
    <row r="346" spans="1:5">
      <c r="A346" t="s">
        <v>349</v>
      </c>
      <c r="B346">
        <f>標準化權重!B346-每日權重!B346</f>
        <v>0</v>
      </c>
      <c r="C346" s="7">
        <f>標準化權重!C346-每日權重!C346</f>
        <v>4.9216035983429274E-6</v>
      </c>
      <c r="D346" s="7">
        <f>標準化權重!D346-每日權重!D346</f>
        <v>-1.1074676068736355E-3</v>
      </c>
      <c r="E346" s="7">
        <f>標準化權重!E346-每日權重!E346</f>
        <v>1.1025460032752787E-3</v>
      </c>
    </row>
    <row r="347" spans="1:5">
      <c r="A347" t="s">
        <v>350</v>
      </c>
      <c r="B347">
        <f>標準化權重!B347-每日權重!B347</f>
        <v>0</v>
      </c>
      <c r="C347" s="7">
        <f>標準化權重!C347-每日權重!C347</f>
        <v>5.974551781418036E-6</v>
      </c>
      <c r="D347" s="7">
        <f>標準化權重!D347-每日權重!D347</f>
        <v>-1.0952944699409439E-3</v>
      </c>
      <c r="E347" s="7">
        <f>標準化權重!E347-每日權重!E347</f>
        <v>1.0893199181594218E-3</v>
      </c>
    </row>
    <row r="348" spans="1:5">
      <c r="A348" t="s">
        <v>351</v>
      </c>
      <c r="B348">
        <f>標準化權重!B348-每日權重!B348</f>
        <v>0</v>
      </c>
      <c r="C348" s="7">
        <f>標準化權重!C348-每日權重!C348</f>
        <v>5.2682465598030692E-6</v>
      </c>
      <c r="D348" s="7">
        <f>標準化權重!D348-每日權重!D348</f>
        <v>-1.1034258900286531E-3</v>
      </c>
      <c r="E348" s="7">
        <f>標準化權重!E348-每日權重!E348</f>
        <v>1.0981576434689472E-3</v>
      </c>
    </row>
    <row r="349" spans="1:5">
      <c r="A349" t="s">
        <v>352</v>
      </c>
      <c r="B349">
        <f>標準化權重!B349-每日權重!B349</f>
        <v>0</v>
      </c>
      <c r="C349" s="7">
        <f>標準化權重!C349-每日權重!C349</f>
        <v>5.4478442196997934E-6</v>
      </c>
      <c r="D349" s="7">
        <f>標準化權重!D349-每日權重!D349</f>
        <v>-1.1017148630716456E-3</v>
      </c>
      <c r="E349" s="7">
        <f>標準化權重!E349-每日權重!E349</f>
        <v>1.0962670188518417E-3</v>
      </c>
    </row>
    <row r="350" spans="1:5">
      <c r="A350" t="s">
        <v>353</v>
      </c>
      <c r="B350">
        <f>標準化權重!B350-每日權重!B350</f>
        <v>0</v>
      </c>
      <c r="C350" s="7">
        <f>標準化權重!C350-每日權重!C350</f>
        <v>5.5625521446917015E-6</v>
      </c>
      <c r="D350" s="7">
        <f>標準化權重!D350-每日權重!D350</f>
        <v>-1.100424707777492E-3</v>
      </c>
      <c r="E350" s="7">
        <f>標準化權重!E350-每日權重!E350</f>
        <v>1.0948621556328211E-3</v>
      </c>
    </row>
    <row r="351" spans="1:5">
      <c r="A351" t="s">
        <v>354</v>
      </c>
      <c r="B351">
        <f>標準化權重!B351-每日權重!B351</f>
        <v>0</v>
      </c>
      <c r="C351" s="7">
        <f>標準化權重!C351-每日權重!C351</f>
        <v>5.3302542357691607E-6</v>
      </c>
      <c r="D351" s="7">
        <f>標準化權重!D351-每日權重!D351</f>
        <v>-1.1030280169311846E-3</v>
      </c>
      <c r="E351" s="7">
        <f>標準化權重!E351-每日權重!E351</f>
        <v>1.0976977626954293E-3</v>
      </c>
    </row>
    <row r="352" spans="1:5">
      <c r="A352" t="s">
        <v>355</v>
      </c>
      <c r="B352">
        <f>標準化權重!B352-每日權重!B352</f>
        <v>0</v>
      </c>
      <c r="C352" s="7">
        <f>標準化權重!C352-每日權重!C352</f>
        <v>7.603889616375481E-6</v>
      </c>
      <c r="D352" s="7">
        <f>標準化權重!D352-每日權重!D352</f>
        <v>-1.076542636206157E-3</v>
      </c>
      <c r="E352" s="7">
        <f>標準化權重!E352-每日權重!E352</f>
        <v>1.0689387465897399E-3</v>
      </c>
    </row>
    <row r="353" spans="1:5">
      <c r="A353" t="s">
        <v>356</v>
      </c>
      <c r="B353">
        <f>標準化權重!B353-每日權重!B353</f>
        <v>0</v>
      </c>
      <c r="C353" s="7">
        <f>標準化權重!C353-每日權重!C353</f>
        <v>4.9376834110465007E-6</v>
      </c>
      <c r="D353" s="7">
        <f>標準化權重!D353-每日權重!D353</f>
        <v>-1.1069137571338983E-3</v>
      </c>
      <c r="E353" s="7">
        <f>標準化權重!E353-每日權重!E353</f>
        <v>1.1019760737228518E-3</v>
      </c>
    </row>
    <row r="354" spans="1:5">
      <c r="A354" t="s">
        <v>357</v>
      </c>
      <c r="B354">
        <f>標準化權重!B354-每日權重!B354</f>
        <v>0</v>
      </c>
      <c r="C354" s="7">
        <f>標準化權重!C354-每日權重!C354</f>
        <v>6.2651543091957196E-6</v>
      </c>
      <c r="D354" s="7">
        <f>標準化權重!D354-每日權重!D354</f>
        <v>-1.0919263423208037E-3</v>
      </c>
      <c r="E354" s="7">
        <f>標準化權重!E354-每日權重!E354</f>
        <v>1.0856611880115039E-3</v>
      </c>
    </row>
    <row r="355" spans="1:5">
      <c r="A355" t="s">
        <v>358</v>
      </c>
      <c r="B355">
        <f>標準化權重!B355-每日權重!B355</f>
        <v>0</v>
      </c>
      <c r="C355" s="7">
        <f>標準化權重!C355-每日權重!C355</f>
        <v>6.1659639382233289E-6</v>
      </c>
      <c r="D355" s="7">
        <f>標準化權重!D355-每日權重!D355</f>
        <v>-1.0931576786595842E-3</v>
      </c>
      <c r="E355" s="7">
        <f>標準化權重!E355-每日權重!E355</f>
        <v>1.0869917147213817E-3</v>
      </c>
    </row>
    <row r="356" spans="1:5">
      <c r="A356" t="s">
        <v>359</v>
      </c>
      <c r="B356">
        <f>標準化權重!B356-每日權重!B356</f>
        <v>0</v>
      </c>
      <c r="C356" s="7">
        <f>標準化權重!C356-每日權重!C356</f>
        <v>6.8264381355570558E-6</v>
      </c>
      <c r="D356" s="7">
        <f>標準化權重!D356-每日權重!D356</f>
        <v>-1.0856158273603311E-3</v>
      </c>
      <c r="E356" s="7">
        <f>標準化權重!E356-每日權重!E356</f>
        <v>1.0787893892247116E-3</v>
      </c>
    </row>
    <row r="357" spans="1:5">
      <c r="A357" t="s">
        <v>360</v>
      </c>
      <c r="B357">
        <f>標準化權重!B357-每日權重!B357</f>
        <v>0</v>
      </c>
      <c r="C357" s="7">
        <f>標準化權重!C357-每日權重!C357</f>
        <v>7.5229766711287782E-6</v>
      </c>
      <c r="D357" s="7">
        <f>標準化權重!D357-每日權重!D357</f>
        <v>-1.0777075447764295E-3</v>
      </c>
      <c r="E357" s="7">
        <f>標準化權重!E357-每日權重!E357</f>
        <v>1.0701845681053215E-3</v>
      </c>
    </row>
    <row r="358" spans="1:5">
      <c r="A358" t="s">
        <v>361</v>
      </c>
      <c r="B358">
        <f>標準化權重!B358-每日權重!B358</f>
        <v>0</v>
      </c>
      <c r="C358" s="7">
        <f>標準化權重!C358-每日權重!C358</f>
        <v>8.1600436840217894E-6</v>
      </c>
      <c r="D358" s="7">
        <f>標準化權重!D358-每日權重!D358</f>
        <v>-1.0704382591827377E-3</v>
      </c>
      <c r="E358" s="7">
        <f>標準化權重!E358-每日權重!E358</f>
        <v>1.0622782154986951E-3</v>
      </c>
    </row>
    <row r="359" spans="1:5">
      <c r="A359" t="s">
        <v>362</v>
      </c>
      <c r="B359">
        <f>標準化權重!B359-每日權重!B359</f>
        <v>0</v>
      </c>
      <c r="C359" s="7">
        <f>標準化權重!C359-每日權重!C359</f>
        <v>8.4549496247726674E-6</v>
      </c>
      <c r="D359" s="7">
        <f>標準化權重!D359-每日權重!D359</f>
        <v>-1.0671442850965773E-3</v>
      </c>
      <c r="E359" s="7">
        <f>標準化權重!E359-每日權重!E359</f>
        <v>1.0586893354718671E-3</v>
      </c>
    </row>
    <row r="360" spans="1:5">
      <c r="A360" t="s">
        <v>363</v>
      </c>
      <c r="B360">
        <f>標準化權重!B360-每日權重!B360</f>
        <v>0</v>
      </c>
      <c r="C360" s="7">
        <f>標準化權重!C360-每日權重!C360</f>
        <v>2.3223656921960573E-3</v>
      </c>
      <c r="D360" s="7">
        <f>標準化權重!D360-每日權重!D360</f>
        <v>-3.2450615978318886E-3</v>
      </c>
      <c r="E360" s="7">
        <f>標準化權重!E360-每日權重!E360</f>
        <v>9.2269590563575504E-4</v>
      </c>
    </row>
    <row r="361" spans="1:5">
      <c r="A361" t="s">
        <v>364</v>
      </c>
      <c r="B361">
        <f>標準化權重!B361-每日權重!B361</f>
        <v>0</v>
      </c>
      <c r="C361" s="7">
        <f>標準化權重!C361-每日權重!C361</f>
        <v>2.2629471914188543E-3</v>
      </c>
      <c r="D361" s="7">
        <f>標準化權重!D361-每日權重!D361</f>
        <v>-4.2749472665500887E-3</v>
      </c>
      <c r="E361" s="7">
        <f>標準化權重!E361-每日權重!E361</f>
        <v>2.0120000751311859E-3</v>
      </c>
    </row>
    <row r="362" spans="1:5">
      <c r="A362" t="s">
        <v>365</v>
      </c>
      <c r="B362">
        <f>標準化權重!B362-每日權重!B362</f>
        <v>0</v>
      </c>
      <c r="C362" s="7">
        <f>標準化權重!C362-每日權重!C362</f>
        <v>2.2305017858421511E-3</v>
      </c>
      <c r="D362" s="7">
        <f>標準化權重!D362-每日權重!D362</f>
        <v>-4.2824339140881129E-3</v>
      </c>
      <c r="E362" s="7">
        <f>標準化權重!E362-每日權重!E362</f>
        <v>2.0519321282459549E-3</v>
      </c>
    </row>
    <row r="363" spans="1:5">
      <c r="A363" t="s">
        <v>366</v>
      </c>
      <c r="B363">
        <f>標準化權重!B363-每日權重!B363</f>
        <v>0</v>
      </c>
      <c r="C363" s="7">
        <f>標準化權重!C363-每日權重!C363</f>
        <v>2.2402944980054323E-3</v>
      </c>
      <c r="D363" s="7">
        <f>標準化權重!D363-每日權重!D363</f>
        <v>-4.2852643173022509E-3</v>
      </c>
      <c r="E363" s="7">
        <f>標準化權重!E363-每日權重!E363</f>
        <v>2.0449698192967006E-3</v>
      </c>
    </row>
    <row r="364" spans="1:5">
      <c r="A364" t="s">
        <v>367</v>
      </c>
      <c r="B364">
        <f>標準化權重!B364-每日權重!B364</f>
        <v>0</v>
      </c>
      <c r="C364" s="7">
        <f>標準化權重!C364-每日權重!C364</f>
        <v>2.2183473476440896E-3</v>
      </c>
      <c r="D364" s="7">
        <f>標準化權重!D364-每日權重!D364</f>
        <v>-4.2526761101311372E-3</v>
      </c>
      <c r="E364" s="7">
        <f>標準化權重!E364-每日權重!E364</f>
        <v>2.0343287624870754E-3</v>
      </c>
    </row>
    <row r="365" spans="1:5">
      <c r="A365" t="s">
        <v>368</v>
      </c>
      <c r="B365">
        <f>標準化權重!B365-每日權重!B365</f>
        <v>0</v>
      </c>
      <c r="C365" s="7">
        <f>標準化權重!C365-每日權重!C365</f>
        <v>2.2092064395444755E-3</v>
      </c>
      <c r="D365" s="7">
        <f>標準化權重!D365-每日權重!D365</f>
        <v>-4.3440715729552437E-3</v>
      </c>
      <c r="E365" s="7">
        <f>標準化權重!E365-每日權重!E365</f>
        <v>2.1348651334106156E-3</v>
      </c>
    </row>
    <row r="366" spans="1:5">
      <c r="A366" t="s">
        <v>369</v>
      </c>
      <c r="B366">
        <f>標準化權重!B366-每日權重!B366</f>
        <v>0</v>
      </c>
      <c r="C366" s="7">
        <f>標準化權重!C366-每日權重!C366</f>
        <v>2.1909758162579757E-3</v>
      </c>
      <c r="D366" s="7">
        <f>標準化權重!D366-每日權重!D366</f>
        <v>-4.3718206267191473E-3</v>
      </c>
      <c r="E366" s="7">
        <f>標準化權重!E366-每日權重!E366</f>
        <v>2.1808448104611994E-3</v>
      </c>
    </row>
    <row r="367" spans="1:5">
      <c r="A367" t="s">
        <v>370</v>
      </c>
      <c r="B367">
        <f>標準化權重!B367-每日權重!B367</f>
        <v>0</v>
      </c>
      <c r="C367" s="7">
        <f>標準化權重!C367-每日權重!C367</f>
        <v>2.1868612170742874E-3</v>
      </c>
      <c r="D367" s="7">
        <f>標準化權重!D367-每日權重!D367</f>
        <v>-4.3947531249760585E-3</v>
      </c>
      <c r="E367" s="7">
        <f>標準化權重!E367-每日權重!E367</f>
        <v>2.2078919079017018E-3</v>
      </c>
    </row>
    <row r="368" spans="1:5">
      <c r="A368" t="s">
        <v>371</v>
      </c>
      <c r="B368">
        <f>標準化權重!B368-每日權重!B368</f>
        <v>0</v>
      </c>
      <c r="C368" s="7">
        <f>標準化權重!C368-每日權重!C368</f>
        <v>2.1896218940087725E-3</v>
      </c>
      <c r="D368" s="7">
        <f>標準化權重!D368-每日權重!D368</f>
        <v>-4.3591762127118683E-3</v>
      </c>
      <c r="E368" s="7">
        <f>標準化權重!E368-每日權重!E368</f>
        <v>2.1695543187031652E-3</v>
      </c>
    </row>
    <row r="369" spans="1:5">
      <c r="A369" t="s">
        <v>372</v>
      </c>
      <c r="B369">
        <f>標準化權重!B369-每日權重!B369</f>
        <v>0</v>
      </c>
      <c r="C369" s="7">
        <f>標準化權重!C369-每日權重!C369</f>
        <v>2.1949706290706333E-3</v>
      </c>
      <c r="D369" s="7">
        <f>標準化權重!D369-每日權重!D369</f>
        <v>-4.3519158679050651E-3</v>
      </c>
      <c r="E369" s="7">
        <f>標準化權重!E369-每日權重!E369</f>
        <v>2.1569452388344734E-3</v>
      </c>
    </row>
    <row r="370" spans="1:5">
      <c r="A370" t="s">
        <v>373</v>
      </c>
      <c r="B370">
        <f>標準化權重!B370-每日權重!B370</f>
        <v>0</v>
      </c>
      <c r="C370" s="7">
        <f>標準化權重!C370-每日權重!C370</f>
        <v>2.1574851766841124E-3</v>
      </c>
      <c r="D370" s="7">
        <f>標準化權重!D370-每日權重!D370</f>
        <v>-4.306896971012053E-3</v>
      </c>
      <c r="E370" s="7">
        <f>標準化權重!E370-每日權重!E370</f>
        <v>2.1494117943281488E-3</v>
      </c>
    </row>
    <row r="371" spans="1:5">
      <c r="A371" t="s">
        <v>374</v>
      </c>
      <c r="B371">
        <f>標準化權重!B371-每日權重!B371</f>
        <v>0</v>
      </c>
      <c r="C371" s="7">
        <f>標準化權重!C371-每日權重!C371</f>
        <v>2.1787580018390318E-3</v>
      </c>
      <c r="D371" s="7">
        <f>標準化權重!D371-每日權重!D371</f>
        <v>-4.29898781002791E-3</v>
      </c>
      <c r="E371" s="7">
        <f>標準化權重!E371-每日權重!E371</f>
        <v>2.1202298081889129E-3</v>
      </c>
    </row>
    <row r="372" spans="1:5">
      <c r="A372" t="s">
        <v>375</v>
      </c>
      <c r="B372">
        <f>標準化權重!B372-每日權重!B372</f>
        <v>0</v>
      </c>
      <c r="C372" s="7">
        <f>標準化權重!C372-每日權重!C372</f>
        <v>2.1568047694612708E-3</v>
      </c>
      <c r="D372" s="7">
        <f>標準化權重!D372-每日權重!D372</f>
        <v>-4.2665122840206404E-3</v>
      </c>
      <c r="E372" s="7">
        <f>標準化權重!E372-每日權重!E372</f>
        <v>2.1097075145593072E-3</v>
      </c>
    </row>
    <row r="373" spans="1:5">
      <c r="A373" t="s">
        <v>376</v>
      </c>
      <c r="B373">
        <f>標準化權重!B373-每日權重!B373</f>
        <v>0</v>
      </c>
      <c r="C373" s="7">
        <f>標準化權重!C373-每日權重!C373</f>
        <v>2.1551563165788795E-3</v>
      </c>
      <c r="D373" s="7">
        <f>標準化權重!D373-每日權重!D373</f>
        <v>-4.2921832632689672E-3</v>
      </c>
      <c r="E373" s="7">
        <f>標準化權重!E373-每日權重!E373</f>
        <v>2.1370269466902264E-3</v>
      </c>
    </row>
    <row r="374" spans="1:5">
      <c r="A374" t="s">
        <v>377</v>
      </c>
      <c r="B374">
        <f>標準化權重!B374-每日權重!B374</f>
        <v>0</v>
      </c>
      <c r="C374" s="7">
        <f>標準化權重!C374-每日權重!C374</f>
        <v>2.1477713320405822E-3</v>
      </c>
      <c r="D374" s="7">
        <f>標準化權重!D374-每日權重!D374</f>
        <v>-4.3245889909860891E-3</v>
      </c>
      <c r="E374" s="7">
        <f>標準化權重!E374-每日權重!E374</f>
        <v>2.1768176589454236E-3</v>
      </c>
    </row>
    <row r="375" spans="1:5">
      <c r="A375" t="s">
        <v>378</v>
      </c>
      <c r="B375">
        <f>標準化權重!B375-每日權重!B375</f>
        <v>0</v>
      </c>
      <c r="C375" s="7">
        <f>標準化權重!C375-每日權重!C375</f>
        <v>2.1725010717801724E-3</v>
      </c>
      <c r="D375" s="7">
        <f>標準化權重!D375-每日權重!D375</f>
        <v>-4.3213193061985011E-3</v>
      </c>
      <c r="E375" s="7">
        <f>標準化權重!E375-每日權重!E375</f>
        <v>2.1488182344185369E-3</v>
      </c>
    </row>
    <row r="376" spans="1:5">
      <c r="A376" t="s">
        <v>379</v>
      </c>
      <c r="B376">
        <f>標準化權重!B376-每日權重!B376</f>
        <v>0</v>
      </c>
      <c r="C376" s="7">
        <f>標準化權重!C376-每日權重!C376</f>
        <v>2.2627473158225858E-3</v>
      </c>
      <c r="D376" s="7">
        <f>標準化權重!D376-每日權重!D376</f>
        <v>-4.3980774417436974E-3</v>
      </c>
      <c r="E376" s="7">
        <f>標準化權重!E376-每日權重!E376</f>
        <v>2.1353301259210145E-3</v>
      </c>
    </row>
    <row r="377" spans="1:5">
      <c r="A377" t="s">
        <v>380</v>
      </c>
      <c r="B377">
        <f>標準化權重!B377-每日權重!B377</f>
        <v>0</v>
      </c>
      <c r="C377" s="7">
        <f>標準化權重!C377-每日權重!C377</f>
        <v>2.2683481655022542E-3</v>
      </c>
      <c r="D377" s="7">
        <f>標準化權重!D377-每日權重!D377</f>
        <v>-4.4028395360995454E-3</v>
      </c>
      <c r="E377" s="7">
        <f>標準化權重!E377-每日權重!E377</f>
        <v>2.1344913705973606E-3</v>
      </c>
    </row>
    <row r="378" spans="1:5">
      <c r="A378" t="s">
        <v>381</v>
      </c>
      <c r="B378">
        <f>標準化權重!B378-每日權重!B378</f>
        <v>0</v>
      </c>
      <c r="C378" s="7">
        <f>標準化權重!C378-每日權重!C378</f>
        <v>2.2913164727437069E-3</v>
      </c>
      <c r="D378" s="7">
        <f>標準化權重!D378-每日權重!D378</f>
        <v>-4.384161769135142E-3</v>
      </c>
      <c r="E378" s="7">
        <f>標準化權重!E378-每日權重!E378</f>
        <v>2.0928452963913866E-3</v>
      </c>
    </row>
    <row r="379" spans="1:5">
      <c r="A379" t="s">
        <v>382</v>
      </c>
      <c r="B379">
        <f>標準化權重!B379-每日權重!B379</f>
        <v>0</v>
      </c>
      <c r="C379" s="7">
        <f>標準化權重!C379-每日權重!C379</f>
        <v>2.2634938727201653E-3</v>
      </c>
      <c r="D379" s="7">
        <f>標準化權重!D379-每日權重!D379</f>
        <v>-4.324442513849891E-3</v>
      </c>
      <c r="E379" s="7">
        <f>標準化權重!E379-每日權重!E379</f>
        <v>2.0609486411297326E-3</v>
      </c>
    </row>
    <row r="380" spans="1:5">
      <c r="A380" t="s">
        <v>383</v>
      </c>
      <c r="B380">
        <f>標準化權重!B380-每日權重!B380</f>
        <v>0</v>
      </c>
      <c r="C380" s="7">
        <f>標準化權重!C380-每日權重!C380</f>
        <v>2.2304137116774536E-3</v>
      </c>
      <c r="D380" s="7">
        <f>標準化權重!D380-每日權重!D380</f>
        <v>-4.2910451947072437E-3</v>
      </c>
      <c r="E380" s="7">
        <f>標準化權重!E380-每日權重!E380</f>
        <v>2.0606314830298109E-3</v>
      </c>
    </row>
    <row r="381" spans="1:5">
      <c r="A381" t="s">
        <v>384</v>
      </c>
      <c r="B381">
        <f>標準化權重!B381-每日權重!B381</f>
        <v>0</v>
      </c>
      <c r="C381" s="7">
        <f>標準化權重!C381-每日權重!C381</f>
        <v>2.2978262246462489E-3</v>
      </c>
      <c r="D381" s="7">
        <f>標準化權重!D381-每日權重!D381</f>
        <v>-4.3284638469563985E-3</v>
      </c>
      <c r="E381" s="7">
        <f>標準化權重!E381-每日權重!E381</f>
        <v>2.0306376223101358E-3</v>
      </c>
    </row>
    <row r="382" spans="1:5">
      <c r="A382" t="s">
        <v>385</v>
      </c>
      <c r="B382">
        <f>標準化權重!B382-每日權重!B382</f>
        <v>0</v>
      </c>
      <c r="C382" s="7">
        <f>標準化權重!C382-每日權重!C382</f>
        <v>2.3708508258734329E-3</v>
      </c>
      <c r="D382" s="7">
        <f>標準化權重!D382-每日權重!D382</f>
        <v>-4.3957469448220321E-3</v>
      </c>
      <c r="E382" s="7">
        <f>標準化權重!E382-每日權重!E382</f>
        <v>2.0248961189487033E-3</v>
      </c>
    </row>
    <row r="383" spans="1:5">
      <c r="A383" t="s">
        <v>386</v>
      </c>
      <c r="B383">
        <f>標準化權重!B383-每日權重!B383</f>
        <v>0</v>
      </c>
      <c r="C383" s="7">
        <f>標準化權重!C383-每日權重!C383</f>
        <v>2.3659802763727339E-3</v>
      </c>
      <c r="D383" s="7">
        <f>標準化權重!D383-每日權重!D383</f>
        <v>-4.3733285401619248E-3</v>
      </c>
      <c r="E383" s="7">
        <f>標準化權重!E383-每日權重!E383</f>
        <v>2.0073482637891493E-3</v>
      </c>
    </row>
    <row r="384" spans="1:5">
      <c r="A384" t="s">
        <v>387</v>
      </c>
      <c r="B384">
        <f>標準化權重!B384-每日權重!B384</f>
        <v>0</v>
      </c>
      <c r="C384" s="7">
        <f>標準化權重!C384-每日權重!C384</f>
        <v>2.3911099936767266E-3</v>
      </c>
      <c r="D384" s="7">
        <f>標準化權重!D384-每日權重!D384</f>
        <v>-4.385202006190525E-3</v>
      </c>
      <c r="E384" s="7">
        <f>標準化權重!E384-每日權重!E384</f>
        <v>1.9940920125138539E-3</v>
      </c>
    </row>
    <row r="385" spans="1:5">
      <c r="A385" t="s">
        <v>388</v>
      </c>
      <c r="B385">
        <f>標準化權重!B385-每日權重!B385</f>
        <v>0</v>
      </c>
      <c r="C385" s="7">
        <f>標準化權重!C385-每日權重!C385</f>
        <v>2.4511156247977173E-3</v>
      </c>
      <c r="D385" s="7">
        <f>標準化權重!D385-每日權重!D385</f>
        <v>-4.448618446798891E-3</v>
      </c>
      <c r="E385" s="7">
        <f>標準化權重!E385-每日權重!E385</f>
        <v>1.9975028220011876E-3</v>
      </c>
    </row>
    <row r="386" spans="1:5">
      <c r="A386" t="s">
        <v>389</v>
      </c>
      <c r="B386">
        <f>標準化權重!B386-每日權重!B386</f>
        <v>0</v>
      </c>
      <c r="C386" s="7">
        <f>標準化權重!C386-每日權重!C386</f>
        <v>2.4510985064071095E-3</v>
      </c>
      <c r="D386" s="7">
        <f>標準化權重!D386-每日權重!D386</f>
        <v>-4.4118762009569545E-3</v>
      </c>
      <c r="E386" s="7">
        <f>標準化權重!E386-每日權重!E386</f>
        <v>1.9607776945496577E-3</v>
      </c>
    </row>
    <row r="387" spans="1:5">
      <c r="A387" t="s">
        <v>390</v>
      </c>
      <c r="B387">
        <f>標準化權重!B387-每日權重!B387</f>
        <v>0</v>
      </c>
      <c r="C387" s="7">
        <f>標準化權重!C387-每日權重!C387</f>
        <v>2.4597995422523805E-3</v>
      </c>
      <c r="D387" s="7">
        <f>標準化權重!D387-每日權重!D387</f>
        <v>-4.4202919012780173E-3</v>
      </c>
      <c r="E387" s="7">
        <f>標準化權重!E387-每日權重!E387</f>
        <v>1.9604923590256298E-3</v>
      </c>
    </row>
    <row r="388" spans="1:5">
      <c r="A388" t="s">
        <v>391</v>
      </c>
      <c r="B388">
        <f>標準化權重!B388-每日權重!B388</f>
        <v>0</v>
      </c>
      <c r="C388" s="7">
        <f>標準化權重!C388-每日權重!C388</f>
        <v>2.4884905264780238E-3</v>
      </c>
      <c r="D388" s="7">
        <f>標準化權重!D388-每日權重!D388</f>
        <v>-4.4440495256685697E-3</v>
      </c>
      <c r="E388" s="7">
        <f>標準化權重!E388-每日權重!E388</f>
        <v>1.9555589991905806E-3</v>
      </c>
    </row>
    <row r="389" spans="1:5">
      <c r="A389" t="s">
        <v>392</v>
      </c>
      <c r="B389">
        <f>標準化權重!B389-每日權重!B389</f>
        <v>0</v>
      </c>
      <c r="C389" s="7">
        <f>標準化權重!C389-每日權重!C389</f>
        <v>2.476745946195083E-3</v>
      </c>
      <c r="D389" s="7">
        <f>標準化權重!D389-每日權重!D389</f>
        <v>-4.4401667896596386E-3</v>
      </c>
      <c r="E389" s="7">
        <f>標準化權重!E389-每日權重!E389</f>
        <v>1.9634208434646042E-3</v>
      </c>
    </row>
    <row r="390" spans="1:5">
      <c r="A390" t="s">
        <v>393</v>
      </c>
      <c r="B390">
        <f>標準化權重!B390-每日權重!B390</f>
        <v>0</v>
      </c>
      <c r="C390" s="7">
        <f>標準化權重!C390-每日權重!C390</f>
        <v>2.4601900186545095E-3</v>
      </c>
      <c r="D390" s="7">
        <f>標準化權重!D390-每日權重!D390</f>
        <v>-4.4099261677813528E-3</v>
      </c>
      <c r="E390" s="7">
        <f>標準化權重!E390-每日權重!E390</f>
        <v>1.9497361491267046E-3</v>
      </c>
    </row>
    <row r="391" spans="1:5">
      <c r="A391" t="s">
        <v>394</v>
      </c>
      <c r="B391">
        <f>標準化權重!B391-每日權重!B391</f>
        <v>0</v>
      </c>
      <c r="C391" s="7">
        <f>標準化權重!C391-每日權重!C391</f>
        <v>2.5045133699308636E-3</v>
      </c>
      <c r="D391" s="7">
        <f>標準化權重!D391-每日權重!D391</f>
        <v>-4.5084413189109274E-3</v>
      </c>
      <c r="E391" s="7">
        <f>標準化權重!E391-每日權重!E391</f>
        <v>2.0039279489799666E-3</v>
      </c>
    </row>
    <row r="392" spans="1:5">
      <c r="A392" t="s">
        <v>395</v>
      </c>
      <c r="B392">
        <f>標準化權重!B392-每日權重!B392</f>
        <v>0</v>
      </c>
      <c r="C392" s="7">
        <f>標準化權重!C392-每日權重!C392</f>
        <v>2.5803093463886428E-3</v>
      </c>
      <c r="D392" s="7">
        <f>標準化權重!D392-每日權重!D392</f>
        <v>-4.5415117361744528E-3</v>
      </c>
      <c r="E392" s="7">
        <f>標準化權重!E392-每日權重!E392</f>
        <v>1.9612023897857614E-3</v>
      </c>
    </row>
    <row r="393" spans="1:5">
      <c r="A393" t="s">
        <v>396</v>
      </c>
      <c r="B393">
        <f>標準化權重!B393-每日權重!B393</f>
        <v>0</v>
      </c>
      <c r="C393" s="7">
        <f>標準化權重!C393-每日權重!C393</f>
        <v>2.602640139145046E-3</v>
      </c>
      <c r="D393" s="7">
        <f>標準化權重!D393-每日權重!D393</f>
        <v>-4.6096171352016935E-3</v>
      </c>
      <c r="E393" s="7">
        <f>標準化權重!E393-每日權重!E393</f>
        <v>2.0069769960566128E-3</v>
      </c>
    </row>
    <row r="394" spans="1:5">
      <c r="A394" t="s">
        <v>397</v>
      </c>
      <c r="B394">
        <f>標準化權重!B394-每日權重!B394</f>
        <v>0</v>
      </c>
      <c r="C394" s="7">
        <f>標準化權重!C394-每日權重!C394</f>
        <v>2.5784199747961867E-3</v>
      </c>
      <c r="D394" s="7">
        <f>標準化權重!D394-每日權重!D394</f>
        <v>-4.5572659138998217E-3</v>
      </c>
      <c r="E394" s="7">
        <f>標準化權重!E394-每日權重!E394</f>
        <v>1.9788459391036142E-3</v>
      </c>
    </row>
    <row r="395" spans="1:5">
      <c r="A395" t="s">
        <v>398</v>
      </c>
      <c r="B395">
        <f>標準化權重!B395-每日權重!B395</f>
        <v>0</v>
      </c>
      <c r="C395" s="7">
        <f>標準化權重!C395-每日權重!C395</f>
        <v>2.5867726158719934E-3</v>
      </c>
      <c r="D395" s="7">
        <f>標準化權重!D395-每日權重!D395</f>
        <v>-4.5945028525135045E-3</v>
      </c>
      <c r="E395" s="7">
        <f>標準化權重!E395-每日權重!E395</f>
        <v>2.0077302366414002E-3</v>
      </c>
    </row>
    <row r="396" spans="1:5">
      <c r="A396" t="s">
        <v>399</v>
      </c>
      <c r="B396">
        <f>標準化權重!B396-每日權重!B396</f>
        <v>0</v>
      </c>
      <c r="C396" s="7">
        <f>標準化權重!C396-每日權重!C396</f>
        <v>2.6190527050477669E-3</v>
      </c>
      <c r="D396" s="7">
        <f>標準化權重!D396-每日權重!D396</f>
        <v>-4.6121991658710781E-3</v>
      </c>
      <c r="E396" s="7">
        <f>標準化權重!E396-每日權重!E396</f>
        <v>1.9931464608233876E-3</v>
      </c>
    </row>
    <row r="397" spans="1:5">
      <c r="A397" t="s">
        <v>400</v>
      </c>
      <c r="B397">
        <f>標準化權重!B397-每日權重!B397</f>
        <v>0</v>
      </c>
      <c r="C397" s="7">
        <f>標準化權重!C397-每日權重!C397</f>
        <v>2.606075894707266E-3</v>
      </c>
      <c r="D397" s="7">
        <f>標準化權重!D397-每日權重!D397</f>
        <v>-4.6236474886623968E-3</v>
      </c>
      <c r="E397" s="7">
        <f>標準化權重!E397-每日權重!E397</f>
        <v>2.017571593955117E-3</v>
      </c>
    </row>
    <row r="398" spans="1:5">
      <c r="A398" t="s">
        <v>401</v>
      </c>
      <c r="B398">
        <f>標準化權重!B398-每日權重!B398</f>
        <v>0</v>
      </c>
      <c r="C398" s="7">
        <f>標準化權重!C398-每日權重!C398</f>
        <v>2.5923640831888861E-3</v>
      </c>
      <c r="D398" s="7">
        <f>標準化權重!D398-每日權重!D398</f>
        <v>-4.6155131754874734E-3</v>
      </c>
      <c r="E398" s="7">
        <f>標準化權重!E398-每日權重!E398</f>
        <v>2.0231490922985249E-3</v>
      </c>
    </row>
    <row r="399" spans="1:5">
      <c r="A399" t="s">
        <v>402</v>
      </c>
      <c r="B399">
        <f>標準化權重!B399-每日權重!B399</f>
        <v>0</v>
      </c>
      <c r="C399" s="7">
        <f>標準化權重!C399-每日權重!C399</f>
        <v>2.6024017655766479E-3</v>
      </c>
      <c r="D399" s="7">
        <f>標準化權重!D399-每日權重!D399</f>
        <v>-4.6044863662003666E-3</v>
      </c>
      <c r="E399" s="7">
        <f>標準化權重!E399-每日權重!E399</f>
        <v>2.0020846006238435E-3</v>
      </c>
    </row>
    <row r="400" spans="1:5">
      <c r="A400" t="s">
        <v>403</v>
      </c>
      <c r="B400">
        <f>標準化權重!B400-每日權重!B400</f>
        <v>0</v>
      </c>
      <c r="C400" s="7">
        <f>標準化權重!C400-每日權重!C400</f>
        <v>2.568381995925309E-3</v>
      </c>
      <c r="D400" s="7">
        <f>標準化權重!D400-每日權重!D400</f>
        <v>-4.5536982801974712E-3</v>
      </c>
      <c r="E400" s="7">
        <f>標準化權重!E400-每日權重!E400</f>
        <v>1.985316284272301E-3</v>
      </c>
    </row>
    <row r="401" spans="1:5">
      <c r="A401" t="s">
        <v>404</v>
      </c>
      <c r="B401">
        <f>標準化權重!B401-每日權重!B401</f>
        <v>0</v>
      </c>
      <c r="C401" s="7">
        <f>標準化權重!C401-每日權重!C401</f>
        <v>2.5982269367315208E-3</v>
      </c>
      <c r="D401" s="7">
        <f>標準化權重!D401-每日權重!D401</f>
        <v>-4.6044811281155118E-3</v>
      </c>
      <c r="E401" s="7">
        <f>標準化權重!E401-每日權重!E401</f>
        <v>2.0062541913839424E-3</v>
      </c>
    </row>
    <row r="402" spans="1:5">
      <c r="A402" t="s">
        <v>405</v>
      </c>
      <c r="B402">
        <f>標準化權重!B402-每日權重!B402</f>
        <v>0</v>
      </c>
      <c r="C402" s="7">
        <f>標準化權重!C402-每日權重!C402</f>
        <v>2.5751035992620935E-3</v>
      </c>
      <c r="D402" s="7">
        <f>標準化權重!D402-每日權重!D402</f>
        <v>-4.5660580455405553E-3</v>
      </c>
      <c r="E402" s="7">
        <f>標準化權重!E402-每日權重!E402</f>
        <v>1.9909544462785034E-3</v>
      </c>
    </row>
    <row r="403" spans="1:5">
      <c r="A403" t="s">
        <v>406</v>
      </c>
      <c r="B403">
        <f>標準化權重!B403-每日權重!B403</f>
        <v>0</v>
      </c>
      <c r="C403" s="7">
        <f>標準化權重!C403-每日權重!C403</f>
        <v>2.5160195845666949E-3</v>
      </c>
      <c r="D403" s="7">
        <f>標準化權重!D403-每日權重!D403</f>
        <v>-4.4956041940575897E-3</v>
      </c>
      <c r="E403" s="7">
        <f>標準化權重!E403-每日權重!E403</f>
        <v>1.9795846094908393E-3</v>
      </c>
    </row>
    <row r="404" spans="1:5">
      <c r="A404" t="s">
        <v>407</v>
      </c>
      <c r="B404">
        <f>標準化權重!B404-每日權重!B404</f>
        <v>0</v>
      </c>
      <c r="C404" s="7">
        <f>標準化權重!C404-每日權重!C404</f>
        <v>2.5238776047646627E-3</v>
      </c>
      <c r="D404" s="7">
        <f>標準化權重!D404-每日權重!D404</f>
        <v>-4.5096709856178308E-3</v>
      </c>
      <c r="E404" s="7">
        <f>標準化權重!E404-每日權重!E404</f>
        <v>1.9857933808531264E-3</v>
      </c>
    </row>
    <row r="405" spans="1:5">
      <c r="A405" t="s">
        <v>408</v>
      </c>
      <c r="B405">
        <f>標準化權重!B405-每日權重!B405</f>
        <v>0</v>
      </c>
      <c r="C405" s="7">
        <f>標準化權重!C405-每日權重!C405</f>
        <v>2.537459050320906E-3</v>
      </c>
      <c r="D405" s="7">
        <f>標準化權重!D405-每日權重!D405</f>
        <v>-4.5649963512763847E-3</v>
      </c>
      <c r="E405" s="7">
        <f>標準化權重!E405-每日權重!E405</f>
        <v>2.0275373009556244E-3</v>
      </c>
    </row>
    <row r="406" spans="1:5">
      <c r="A406" t="s">
        <v>409</v>
      </c>
      <c r="B406">
        <f>標準化權重!B406-每日權重!B406</f>
        <v>0</v>
      </c>
      <c r="C406" s="7">
        <f>標準化權重!C406-每日權重!C406</f>
        <v>2.5663707766799132E-3</v>
      </c>
      <c r="D406" s="7">
        <f>標準化權重!D406-每日權重!D406</f>
        <v>-4.5772602133390405E-3</v>
      </c>
      <c r="E406" s="7">
        <f>標準化權重!E406-每日權重!E406</f>
        <v>2.0108894366593008E-3</v>
      </c>
    </row>
    <row r="407" spans="1:5">
      <c r="A407" t="s">
        <v>410</v>
      </c>
      <c r="B407">
        <f>標準化權重!B407-每日權重!B407</f>
        <v>0</v>
      </c>
      <c r="C407" s="7">
        <f>標準化權重!C407-每日權重!C407</f>
        <v>2.5448723832270093E-3</v>
      </c>
      <c r="D407" s="7">
        <f>標準化權重!D407-每日權重!D407</f>
        <v>-4.5907735145074291E-3</v>
      </c>
      <c r="E407" s="7">
        <f>標準化權重!E407-每日權重!E407</f>
        <v>2.0459011312804407E-3</v>
      </c>
    </row>
    <row r="408" spans="1:5">
      <c r="A408" t="s">
        <v>411</v>
      </c>
      <c r="B408">
        <f>標準化權重!B408-每日權重!B408</f>
        <v>0</v>
      </c>
      <c r="C408" s="7">
        <f>標準化權重!C408-每日權重!C408</f>
        <v>2.5302510079721063E-3</v>
      </c>
      <c r="D408" s="7">
        <f>標準化權重!D408-每日權重!D408</f>
        <v>-4.572215405285518E-3</v>
      </c>
      <c r="E408" s="7">
        <f>標準化權重!E408-每日權重!E408</f>
        <v>2.04196439731337E-3</v>
      </c>
    </row>
    <row r="409" spans="1:5">
      <c r="A409" t="s">
        <v>412</v>
      </c>
      <c r="B409">
        <f>標準化權重!B409-每日權重!B409</f>
        <v>0</v>
      </c>
      <c r="C409" s="7">
        <f>標準化權重!C409-每日權重!C409</f>
        <v>2.5238932980655993E-3</v>
      </c>
      <c r="D409" s="7">
        <f>標準化權重!D409-每日權重!D409</f>
        <v>-4.6333374096823032E-3</v>
      </c>
      <c r="E409" s="7">
        <f>標準化權重!E409-每日權重!E409</f>
        <v>2.1094441116167317E-3</v>
      </c>
    </row>
    <row r="410" spans="1:5">
      <c r="A410" t="s">
        <v>413</v>
      </c>
      <c r="B410">
        <f>標準化權重!B410-每日權重!B410</f>
        <v>0</v>
      </c>
      <c r="C410" s="7">
        <f>標準化權重!C410-每日權重!C410</f>
        <v>2.5163397644649421E-3</v>
      </c>
      <c r="D410" s="7">
        <f>標準化權重!D410-每日權重!D410</f>
        <v>-4.5667791661853085E-3</v>
      </c>
      <c r="E410" s="7">
        <f>標準化權重!E410-每日權重!E410</f>
        <v>2.0504394017202207E-3</v>
      </c>
    </row>
    <row r="411" spans="1:5">
      <c r="A411" t="s">
        <v>414</v>
      </c>
      <c r="B411">
        <f>標準化權重!B411-每日權重!B411</f>
        <v>0</v>
      </c>
      <c r="C411" s="7">
        <f>標準化權重!C411-每日權重!C411</f>
        <v>2.5415372213903747E-3</v>
      </c>
      <c r="D411" s="7">
        <f>標準化權重!D411-每日權重!D411</f>
        <v>-4.555432838795781E-3</v>
      </c>
      <c r="E411" s="7">
        <f>標準化權重!E411-每日權重!E411</f>
        <v>2.0138956174053438E-3</v>
      </c>
    </row>
    <row r="412" spans="1:5">
      <c r="A412" t="s">
        <v>415</v>
      </c>
      <c r="B412">
        <f>標準化權重!B412-每日權重!B412</f>
        <v>0</v>
      </c>
      <c r="C412" s="7">
        <f>標準化權重!C412-每日權重!C412</f>
        <v>2.5409183824248172E-3</v>
      </c>
      <c r="D412" s="7">
        <f>標準化權重!D412-每日權重!D412</f>
        <v>-4.5332190843901943E-3</v>
      </c>
      <c r="E412" s="7">
        <f>標準化權重!E412-每日權重!E412</f>
        <v>1.99230070196528E-3</v>
      </c>
    </row>
    <row r="413" spans="1:5">
      <c r="A413" t="s">
        <v>416</v>
      </c>
      <c r="B413">
        <f>標準化權重!B413-每日權重!B413</f>
        <v>0</v>
      </c>
      <c r="C413" s="7">
        <f>標準化權重!C413-每日權重!C413</f>
        <v>2.533389135848052E-3</v>
      </c>
      <c r="D413" s="7">
        <f>標準化權重!D413-每日權重!D413</f>
        <v>-4.5335813159226301E-3</v>
      </c>
      <c r="E413" s="7">
        <f>標準化權重!E413-每日權重!E413</f>
        <v>2.0001921800744948E-3</v>
      </c>
    </row>
    <row r="414" spans="1:5">
      <c r="A414" t="s">
        <v>417</v>
      </c>
      <c r="B414">
        <f>標準化權重!B414-每日權重!B414</f>
        <v>0</v>
      </c>
      <c r="C414" s="7">
        <f>標準化權重!C414-每日權重!C414</f>
        <v>2.2283093805921667E-3</v>
      </c>
      <c r="D414" s="7">
        <f>標準化權重!D414-每日權重!D414</f>
        <v>-4.0557366508638948E-3</v>
      </c>
      <c r="E414" s="7">
        <f>標準化權重!E414-每日權重!E414</f>
        <v>1.8274272702716102E-3</v>
      </c>
    </row>
    <row r="415" spans="1:5">
      <c r="A415" t="s">
        <v>418</v>
      </c>
      <c r="B415">
        <f>標準化權重!B415-每日權重!B415</f>
        <v>0</v>
      </c>
      <c r="C415" s="7">
        <f>標準化權重!C415-每日權重!C415</f>
        <v>2.2209325539530728E-3</v>
      </c>
      <c r="D415" s="7">
        <f>標準化權重!D415-每日權重!D415</f>
        <v>-4.0421974669251348E-3</v>
      </c>
      <c r="E415" s="7">
        <f>標準化權重!E415-每日權重!E415</f>
        <v>1.8212649129719025E-3</v>
      </c>
    </row>
    <row r="416" spans="1:5">
      <c r="A416" t="s">
        <v>419</v>
      </c>
      <c r="B416">
        <f>標準化權重!B416-每日權重!B416</f>
        <v>0</v>
      </c>
      <c r="C416" s="7">
        <f>標準化權重!C416-每日權重!C416</f>
        <v>2.2221139673769819E-3</v>
      </c>
      <c r="D416" s="7">
        <f>標準化權重!D416-每日權重!D416</f>
        <v>-4.0188726824250676E-3</v>
      </c>
      <c r="E416" s="7">
        <f>標準化權重!E416-每日權重!E416</f>
        <v>1.7967587150481065E-3</v>
      </c>
    </row>
    <row r="417" spans="1:5">
      <c r="A417" t="s">
        <v>420</v>
      </c>
      <c r="B417">
        <f>標準化權重!B417-每日權重!B417</f>
        <v>0</v>
      </c>
      <c r="C417" s="7">
        <f>標準化權重!C417-每日權重!C417</f>
        <v>2.2514999410683662E-3</v>
      </c>
      <c r="D417" s="7">
        <f>標準化權重!D417-每日權重!D417</f>
        <v>-3.9956909952659769E-3</v>
      </c>
      <c r="E417" s="7">
        <f>標準化權重!E417-每日權重!E417</f>
        <v>1.7441910541975761E-3</v>
      </c>
    </row>
    <row r="418" spans="1:5">
      <c r="A418" t="s">
        <v>421</v>
      </c>
      <c r="B418">
        <f>標準化權重!B418-每日權重!B418</f>
        <v>0</v>
      </c>
      <c r="C418" s="7">
        <f>標準化權重!C418-每日權重!C418</f>
        <v>2.2370449209825893E-3</v>
      </c>
      <c r="D418" s="7">
        <f>標準化權重!D418-每日權重!D418</f>
        <v>-3.9121007065557878E-3</v>
      </c>
      <c r="E418" s="7">
        <f>標準化權重!E418-每日權重!E418</f>
        <v>1.6750557855731846E-3</v>
      </c>
    </row>
    <row r="419" spans="1:5">
      <c r="A419" t="s">
        <v>422</v>
      </c>
      <c r="B419">
        <f>標準化權重!B419-每日權重!B419</f>
        <v>0</v>
      </c>
      <c r="C419" s="7">
        <f>標準化權重!C419-每日權重!C419</f>
        <v>2.2293464160853815E-3</v>
      </c>
      <c r="D419" s="7">
        <f>標準化權重!D419-每日權重!D419</f>
        <v>-3.8258797870156513E-3</v>
      </c>
      <c r="E419" s="7">
        <f>標準化權重!E419-每日權重!E419</f>
        <v>1.5965333709301102E-3</v>
      </c>
    </row>
    <row r="420" spans="1:5">
      <c r="A420" t="s">
        <v>423</v>
      </c>
      <c r="B420">
        <f>標準化權重!B420-每日權重!B420</f>
        <v>0</v>
      </c>
      <c r="C420" s="7">
        <f>標準化權重!C420-每日權重!C420</f>
        <v>2.2543232671068808E-3</v>
      </c>
      <c r="D420" s="7">
        <f>標準化權重!D420-每日權重!D420</f>
        <v>-3.8018617646361497E-3</v>
      </c>
      <c r="E420" s="7">
        <f>標準化權重!E420-每日權重!E420</f>
        <v>1.5475384975291301E-3</v>
      </c>
    </row>
    <row r="421" spans="1:5">
      <c r="A421" t="s">
        <v>424</v>
      </c>
      <c r="B421">
        <f>標準化權重!B421-每日權重!B421</f>
        <v>0</v>
      </c>
      <c r="C421" s="7">
        <f>標準化權重!C421-每日權重!C421</f>
        <v>2.3370473642325834E-3</v>
      </c>
      <c r="D421" s="7">
        <f>標準化權重!D421-每日權重!D421</f>
        <v>-3.9102810138124111E-3</v>
      </c>
      <c r="E421" s="7">
        <f>標準化權重!E421-每日權重!E421</f>
        <v>1.5732336495796681E-3</v>
      </c>
    </row>
    <row r="422" spans="1:5">
      <c r="A422" t="s">
        <v>425</v>
      </c>
      <c r="B422">
        <f>標準化權重!B422-每日權重!B422</f>
        <v>0</v>
      </c>
      <c r="C422" s="7">
        <f>標準化權重!C422-每日權重!C422</f>
        <v>2.2785313477446806E-3</v>
      </c>
      <c r="D422" s="7">
        <f>標準化權重!D422-每日權重!D422</f>
        <v>-3.8438059553757009E-3</v>
      </c>
      <c r="E422" s="7">
        <f>標準化權重!E422-每日權重!E422</f>
        <v>1.565274607631055E-3</v>
      </c>
    </row>
    <row r="423" spans="1:5">
      <c r="A423" t="s">
        <v>426</v>
      </c>
      <c r="B423">
        <f>標準化權重!B423-每日權重!B423</f>
        <v>0</v>
      </c>
      <c r="C423" s="7">
        <f>標準化權重!C423-每日權重!C423</f>
        <v>2.2404389783098055E-3</v>
      </c>
      <c r="D423" s="7">
        <f>標準化權重!D423-每日權重!D423</f>
        <v>-3.8103957483279771E-3</v>
      </c>
      <c r="E423" s="7">
        <f>標準化權重!E423-每日權重!E423</f>
        <v>1.5699567700182757E-3</v>
      </c>
    </row>
    <row r="424" spans="1:5">
      <c r="A424" t="s">
        <v>427</v>
      </c>
      <c r="B424">
        <f>標準化權重!B424-每日權重!B424</f>
        <v>0</v>
      </c>
      <c r="C424" s="7">
        <f>標準化權重!C424-每日權重!C424</f>
        <v>2.2466071391187281E-3</v>
      </c>
      <c r="D424" s="7">
        <f>標準化權重!D424-每日權重!D424</f>
        <v>-3.763819655150491E-3</v>
      </c>
      <c r="E424" s="7">
        <f>標準化權重!E424-每日權重!E424</f>
        <v>1.5172125160319433E-3</v>
      </c>
    </row>
    <row r="425" spans="1:5">
      <c r="A425" t="s">
        <v>428</v>
      </c>
      <c r="B425">
        <f>標準化權重!B425-每日權重!B425</f>
        <v>0</v>
      </c>
      <c r="C425" s="7">
        <f>標準化權重!C425-每日權重!C425</f>
        <v>2.2532128382937305E-3</v>
      </c>
      <c r="D425" s="7">
        <f>標準化權重!D425-每日權重!D425</f>
        <v>-3.7252120414856815E-3</v>
      </c>
      <c r="E425" s="7">
        <f>標準化權重!E425-每日權重!E425</f>
        <v>1.4719992031919857E-3</v>
      </c>
    </row>
    <row r="426" spans="1:5">
      <c r="A426" t="s">
        <v>429</v>
      </c>
      <c r="B426">
        <f>標準化權重!B426-每日權重!B426</f>
        <v>0</v>
      </c>
      <c r="C426" s="7">
        <f>標準化權重!C426-每日權重!C426</f>
        <v>2.2123895153299405E-3</v>
      </c>
      <c r="D426" s="7">
        <f>標準化權重!D426-每日權重!D426</f>
        <v>-3.6962583845575603E-3</v>
      </c>
      <c r="E426" s="7">
        <f>標準化權重!E426-每日權重!E426</f>
        <v>1.4838688692274254E-3</v>
      </c>
    </row>
    <row r="427" spans="1:5">
      <c r="A427" t="s">
        <v>430</v>
      </c>
      <c r="B427">
        <f>標準化權重!B427-每日權重!B427</f>
        <v>0</v>
      </c>
      <c r="C427" s="7">
        <f>標準化權重!C427-每日權重!C427</f>
        <v>2.1870933412147658E-3</v>
      </c>
      <c r="D427" s="7">
        <f>標準化權重!D427-每日權重!D427</f>
        <v>-3.6465859150749402E-3</v>
      </c>
      <c r="E427" s="7">
        <f>標準化權重!E427-每日權重!E427</f>
        <v>1.4594925738600634E-3</v>
      </c>
    </row>
    <row r="428" spans="1:5">
      <c r="A428" t="s">
        <v>431</v>
      </c>
      <c r="B428">
        <f>標準化權重!B428-每日權重!B428</f>
        <v>-6.0389792732424251E-2</v>
      </c>
      <c r="C428" s="7">
        <f>標準化權重!C428-每日權重!C428</f>
        <v>1.7246822989690214E-3</v>
      </c>
      <c r="D428" s="7">
        <f>標準化權重!D428-每日權重!D428</f>
        <v>9.3914184998834527E-3</v>
      </c>
      <c r="E428" s="7">
        <f>標準化權重!E428-每日權重!E428</f>
        <v>4.927369193357186E-2</v>
      </c>
    </row>
    <row r="429" spans="1:5">
      <c r="A429" t="s">
        <v>432</v>
      </c>
      <c r="B429">
        <f>標準化權重!B429-每日權重!B429</f>
        <v>-6.0571624439919973E-2</v>
      </c>
      <c r="C429" s="7">
        <f>標準化權重!C429-每日權重!C429</f>
        <v>1.7412748358990732E-3</v>
      </c>
      <c r="D429" s="7">
        <f>標準化權重!D429-每日權重!D429</f>
        <v>1.0252421931245426E-2</v>
      </c>
      <c r="E429" s="7">
        <f>標準化權重!E429-每日權重!E429</f>
        <v>4.8577927672775544E-2</v>
      </c>
    </row>
    <row r="430" spans="1:5">
      <c r="A430" t="s">
        <v>433</v>
      </c>
      <c r="B430">
        <f>標準化權重!B430-每日權重!B430</f>
        <v>-6.3461043308747828E-2</v>
      </c>
      <c r="C430" s="7">
        <f>標準化權重!C430-每日權重!C430</f>
        <v>1.8543562122158019E-3</v>
      </c>
      <c r="D430" s="7">
        <f>標準化權重!D430-每日權重!D430</f>
        <v>1.2136473266532222E-2</v>
      </c>
      <c r="E430" s="7">
        <f>標準化權重!E430-每日權重!E430</f>
        <v>4.9470213829999894E-2</v>
      </c>
    </row>
    <row r="431" spans="1:5">
      <c r="A431" t="s">
        <v>434</v>
      </c>
      <c r="B431">
        <f>標準化權重!B431-每日權重!B431</f>
        <v>-6.1026723487144108E-2</v>
      </c>
      <c r="C431" s="7">
        <f>標準化權重!C431-每日權重!C431</f>
        <v>1.6295577746461565E-3</v>
      </c>
      <c r="D431" s="7">
        <f>標準化權重!D431-每日權重!D431</f>
        <v>1.0118677985341162E-2</v>
      </c>
      <c r="E431" s="7">
        <f>標準化權重!E431-每日權重!E431</f>
        <v>4.9278487727156844E-2</v>
      </c>
    </row>
    <row r="432" spans="1:5">
      <c r="A432" t="s">
        <v>435</v>
      </c>
      <c r="B432">
        <f>標準化權重!B432-每日權重!B432</f>
        <v>-6.0855461869126042E-2</v>
      </c>
      <c r="C432" s="7">
        <f>標準化權重!C432-每日權重!C432</f>
        <v>1.6652791402561457E-3</v>
      </c>
      <c r="D432" s="7">
        <f>標準化權重!D432-每日權重!D432</f>
        <v>1.1110702205180401E-2</v>
      </c>
      <c r="E432" s="7">
        <f>標準化權重!E432-每日權重!E432</f>
        <v>4.8079480523689447E-2</v>
      </c>
    </row>
    <row r="433" spans="1:5">
      <c r="A433" t="s">
        <v>436</v>
      </c>
      <c r="B433">
        <f>標準化權重!B433-每日權重!B433</f>
        <v>-6.0384435276730757E-2</v>
      </c>
      <c r="C433" s="7">
        <f>標準化權重!C433-每日權重!C433</f>
        <v>1.7889129391161773E-3</v>
      </c>
      <c r="D433" s="7">
        <f>標準化權重!D433-每日權重!D433</f>
        <v>1.1339000626199525E-2</v>
      </c>
      <c r="E433" s="7">
        <f>標準化權重!E433-每日權重!E433</f>
        <v>4.725652171141502E-2</v>
      </c>
    </row>
    <row r="434" spans="1:5">
      <c r="A434" t="s">
        <v>437</v>
      </c>
      <c r="B434">
        <f>標準化權重!B434-每日權重!B434</f>
        <v>-6.0113175976637977E-2</v>
      </c>
      <c r="C434" s="7">
        <f>標準化權重!C434-每日權重!C434</f>
        <v>1.7590599048040584E-3</v>
      </c>
      <c r="D434" s="7">
        <f>標準化權重!D434-每日權重!D434</f>
        <v>1.0149146683062993E-2</v>
      </c>
      <c r="E434" s="7">
        <f>標準化權重!E434-每日權重!E434</f>
        <v>4.8204969388770939E-2</v>
      </c>
    </row>
    <row r="435" spans="1:5">
      <c r="A435" t="s">
        <v>438</v>
      </c>
      <c r="B435">
        <f>標準化權重!B435-每日權重!B435</f>
        <v>-5.9719096986473763E-2</v>
      </c>
      <c r="C435" s="7">
        <f>標準化權重!C435-每日權重!C435</f>
        <v>1.8598468448797617E-3</v>
      </c>
      <c r="D435" s="7">
        <f>標準化權重!D435-每日權重!D435</f>
        <v>1.0694775518452104E-2</v>
      </c>
      <c r="E435" s="7">
        <f>標準化權重!E435-每日權重!E435</f>
        <v>4.7164474623142071E-2</v>
      </c>
    </row>
    <row r="436" spans="1:5">
      <c r="A436" t="s">
        <v>439</v>
      </c>
      <c r="B436">
        <f>標準化權重!B436-每日權重!B436</f>
        <v>-5.9986362625417268E-2</v>
      </c>
      <c r="C436" s="7">
        <f>標準化權重!C436-每日權重!C436</f>
        <v>1.884880609551956E-3</v>
      </c>
      <c r="D436" s="7">
        <f>標準化權重!D436-每日權重!D436</f>
        <v>1.0944478793146195E-2</v>
      </c>
      <c r="E436" s="7">
        <f>標準化權重!E436-每日權重!E436</f>
        <v>4.7157003222719006E-2</v>
      </c>
    </row>
    <row r="437" spans="1:5">
      <c r="A437" t="s">
        <v>440</v>
      </c>
      <c r="B437">
        <f>標準化權重!B437-每日權重!B437</f>
        <v>-6.063049043915153E-2</v>
      </c>
      <c r="C437" s="7">
        <f>標準化權重!C437-每日權重!C437</f>
        <v>1.9424624861792555E-3</v>
      </c>
      <c r="D437" s="7">
        <f>標準化權重!D437-每日權重!D437</f>
        <v>1.1018861386524081E-2</v>
      </c>
      <c r="E437" s="7">
        <f>標準化權重!E437-每日權重!E437</f>
        <v>4.7669166566448318E-2</v>
      </c>
    </row>
    <row r="438" spans="1:5">
      <c r="A438" t="s">
        <v>441</v>
      </c>
      <c r="B438">
        <f>標準化權重!B438-每日權重!B438</f>
        <v>-6.0496006997454929E-2</v>
      </c>
      <c r="C438" s="7">
        <f>標準化權重!C438-每日權重!C438</f>
        <v>1.8909584494416765E-3</v>
      </c>
      <c r="D438" s="7">
        <f>標準化權重!D438-每日權重!D438</f>
        <v>1.0594440479188449E-2</v>
      </c>
      <c r="E438" s="7">
        <f>標準化權重!E438-每日權重!E438</f>
        <v>4.801060806882472E-2</v>
      </c>
    </row>
    <row r="439" spans="1:5">
      <c r="A439" t="s">
        <v>442</v>
      </c>
      <c r="B439">
        <f>標準化權重!B439-每日權重!B439</f>
        <v>-6.2597760793584548E-2</v>
      </c>
      <c r="C439" s="7">
        <f>標準化權重!C439-每日權重!C439</f>
        <v>2.157179981495963E-3</v>
      </c>
      <c r="D439" s="7">
        <f>標準化權重!D439-每日權重!D439</f>
        <v>1.3395365215497002E-2</v>
      </c>
      <c r="E439" s="7">
        <f>標準化權重!E439-每日權重!E439</f>
        <v>4.7045215596591534E-2</v>
      </c>
    </row>
    <row r="440" spans="1:5">
      <c r="A440" t="s">
        <v>443</v>
      </c>
      <c r="B440">
        <f>標準化權重!B440-每日權重!B440</f>
        <v>-6.2987452973692057E-2</v>
      </c>
      <c r="C440" s="7">
        <f>標準化權重!C440-每日權重!C440</f>
        <v>2.2155419685174899E-3</v>
      </c>
      <c r="D440" s="7">
        <f>標準化權重!D440-每日權重!D440</f>
        <v>1.3639501691223299E-2</v>
      </c>
      <c r="E440" s="7">
        <f>標準化權重!E440-每日權重!E440</f>
        <v>4.7132409313951282E-2</v>
      </c>
    </row>
    <row r="441" spans="1:5">
      <c r="A441" t="s">
        <v>444</v>
      </c>
      <c r="B441">
        <f>標準化權重!B441-每日權重!B441</f>
        <v>-6.0909142611653658E-2</v>
      </c>
      <c r="C441" s="7">
        <f>標準化權重!C441-每日權重!C441</f>
        <v>2.1612108529045215E-3</v>
      </c>
      <c r="D441" s="7">
        <f>標準化權重!D441-每日權重!D441</f>
        <v>1.2582088049182039E-2</v>
      </c>
      <c r="E441" s="7">
        <f>標準化權重!E441-每日權重!E441</f>
        <v>4.6165843709567111E-2</v>
      </c>
    </row>
    <row r="442" spans="1:5">
      <c r="A442" t="s">
        <v>445</v>
      </c>
      <c r="B442">
        <f>標準化權重!B442-每日權重!B442</f>
        <v>-5.8168074683026642E-2</v>
      </c>
      <c r="C442" s="7">
        <f>標準化權重!C442-每日權重!C442</f>
        <v>1.9475753989313116E-3</v>
      </c>
      <c r="D442" s="7">
        <f>標準化權重!D442-每日權重!D442</f>
        <v>1.008327579907986E-2</v>
      </c>
      <c r="E442" s="7">
        <f>標準化權重!E442-每日權重!E442</f>
        <v>4.6137223485015547E-2</v>
      </c>
    </row>
    <row r="443" spans="1:5">
      <c r="A443" t="s">
        <v>446</v>
      </c>
      <c r="B443">
        <f>標準化權重!B443-每日權重!B443</f>
        <v>-5.7597419443185492E-2</v>
      </c>
      <c r="C443" s="7">
        <f>標準化權重!C443-每日權重!C443</f>
        <v>1.8597087419855718E-3</v>
      </c>
      <c r="D443" s="7">
        <f>標準化權重!D443-每日權重!D443</f>
        <v>9.4015175972075316E-3</v>
      </c>
      <c r="E443" s="7">
        <f>標準化權重!E443-每日權重!E443</f>
        <v>4.6336193103992424E-2</v>
      </c>
    </row>
    <row r="444" spans="1:5">
      <c r="A444" t="s">
        <v>447</v>
      </c>
      <c r="B444">
        <f>標準化權重!B444-每日權重!B444</f>
        <v>-5.6718922370389023E-2</v>
      </c>
      <c r="C444" s="7">
        <f>標準化權重!C444-每日權重!C444</f>
        <v>1.7550061945833667E-3</v>
      </c>
      <c r="D444" s="7">
        <f>標準化權重!D444-每日權重!D444</f>
        <v>8.8102834793938323E-3</v>
      </c>
      <c r="E444" s="7">
        <f>標準化權重!E444-每日權重!E444</f>
        <v>4.6153632696411928E-2</v>
      </c>
    </row>
    <row r="445" spans="1:5">
      <c r="A445" t="s">
        <v>448</v>
      </c>
      <c r="B445">
        <f>標準化權重!B445-每日權重!B445</f>
        <v>-5.6574475009246283E-2</v>
      </c>
      <c r="C445" s="7">
        <f>標準化權重!C445-每日權重!C445</f>
        <v>1.683197234164463E-3</v>
      </c>
      <c r="D445" s="7">
        <f>標準化權重!D445-每日權重!D445</f>
        <v>8.4951876105230362E-3</v>
      </c>
      <c r="E445" s="7">
        <f>標準化權重!E445-每日權重!E445</f>
        <v>4.639609016455902E-2</v>
      </c>
    </row>
    <row r="446" spans="1:5">
      <c r="A446" t="s">
        <v>449</v>
      </c>
      <c r="B446">
        <f>標準化權重!B446-每日權重!B446</f>
        <v>-5.7580575950464417E-2</v>
      </c>
      <c r="C446" s="7">
        <f>標準化權重!C446-每日權重!C446</f>
        <v>1.7298247234243808E-3</v>
      </c>
      <c r="D446" s="7">
        <f>標準化權重!D446-每日權重!D446</f>
        <v>8.2501860624824008E-3</v>
      </c>
      <c r="E446" s="7">
        <f>標準化權重!E446-每日權重!E446</f>
        <v>4.7600565164557691E-2</v>
      </c>
    </row>
    <row r="447" spans="1:5">
      <c r="A447" t="s">
        <v>450</v>
      </c>
      <c r="B447">
        <f>標準化權重!B447-每日權重!B447</f>
        <v>-5.8007568684779437E-2</v>
      </c>
      <c r="C447" s="7">
        <f>標準化權重!C447-每日權重!C447</f>
        <v>1.7788265250220509E-3</v>
      </c>
      <c r="D447" s="7">
        <f>標準化權重!D447-每日權重!D447</f>
        <v>8.7852588884580474E-3</v>
      </c>
      <c r="E447" s="7">
        <f>標準化權重!E447-每日權重!E447</f>
        <v>4.7443483271299228E-2</v>
      </c>
    </row>
    <row r="448" spans="1:5">
      <c r="A448" t="s">
        <v>451</v>
      </c>
      <c r="B448">
        <f>標準化權重!B448-每日權重!B448</f>
        <v>-5.7522314119350722E-2</v>
      </c>
      <c r="C448" s="7">
        <f>標準化權重!C448-每日權重!C448</f>
        <v>1.7029547481017815E-3</v>
      </c>
      <c r="D448" s="7">
        <f>標準化權重!D448-每日權重!D448</f>
        <v>8.1730818987865161E-3</v>
      </c>
      <c r="E448" s="7">
        <f>標準化權重!E448-每日權重!E448</f>
        <v>4.764627747246257E-2</v>
      </c>
    </row>
    <row r="449" spans="1:5">
      <c r="A449" t="s">
        <v>452</v>
      </c>
      <c r="B449">
        <f>標準化權重!B449-每日權重!B449</f>
        <v>-5.7862512138844267E-2</v>
      </c>
      <c r="C449" s="7">
        <f>標準化權重!C449-每日權重!C449</f>
        <v>1.7909111725819271E-3</v>
      </c>
      <c r="D449" s="7">
        <f>標準化權重!D449-每日權重!D449</f>
        <v>8.9317280436285174E-3</v>
      </c>
      <c r="E449" s="7">
        <f>標準化權重!E449-每日權重!E449</f>
        <v>4.7139872922633885E-2</v>
      </c>
    </row>
    <row r="450" spans="1:5">
      <c r="A450" t="s">
        <v>453</v>
      </c>
      <c r="B450">
        <f>標準化權重!B450-每日權重!B450</f>
        <v>-5.7699194171867307E-2</v>
      </c>
      <c r="C450" s="7">
        <f>標準化權重!C450-每日權重!C450</f>
        <v>1.7423727034649727E-3</v>
      </c>
      <c r="D450" s="7">
        <f>標準化權重!D450-每日權重!D450</f>
        <v>8.4906435780264244E-3</v>
      </c>
      <c r="E450" s="7">
        <f>標準化權重!E450-每日權重!E450</f>
        <v>4.7466177890376014E-2</v>
      </c>
    </row>
    <row r="451" spans="1:5">
      <c r="A451" t="s">
        <v>454</v>
      </c>
      <c r="B451">
        <f>標準化權重!B451-每日權重!B451</f>
        <v>-5.700258074333471E-2</v>
      </c>
      <c r="C451" s="7">
        <f>標準化權重!C451-每日權重!C451</f>
        <v>1.7313221131338014E-3</v>
      </c>
      <c r="D451" s="7">
        <f>標準化權重!D451-每日權重!D451</f>
        <v>8.1537694456254028E-3</v>
      </c>
      <c r="E451" s="7">
        <f>標準化權重!E451-每日權重!E451</f>
        <v>4.7117489184575638E-2</v>
      </c>
    </row>
    <row r="452" spans="1:5">
      <c r="A452" t="s">
        <v>455</v>
      </c>
      <c r="B452">
        <f>標準化權重!B452-每日權重!B452</f>
        <v>-5.698607894019582E-2</v>
      </c>
      <c r="C452" s="7">
        <f>標準化權重!C452-每日權重!C452</f>
        <v>1.7171382575676131E-3</v>
      </c>
      <c r="D452" s="7">
        <f>標準化權重!D452-每日權重!D452</f>
        <v>7.744368089811493E-3</v>
      </c>
      <c r="E452" s="7">
        <f>標準化權重!E452-每日權重!E452</f>
        <v>4.7524572592816713E-2</v>
      </c>
    </row>
    <row r="453" spans="1:5">
      <c r="A453" t="s">
        <v>456</v>
      </c>
      <c r="B453">
        <f>標準化權重!B453-每日權重!B453</f>
        <v>-5.6155170077985823E-2</v>
      </c>
      <c r="C453" s="7">
        <f>標準化權重!C453-每日權重!C453</f>
        <v>1.527856166494701E-3</v>
      </c>
      <c r="D453" s="7">
        <f>標準化權重!D453-每日權重!D453</f>
        <v>6.0619710178374531E-3</v>
      </c>
      <c r="E453" s="7">
        <f>標準化權重!E453-每日權重!E453</f>
        <v>4.8565342893653746E-2</v>
      </c>
    </row>
    <row r="454" spans="1:5">
      <c r="A454" t="s">
        <v>457</v>
      </c>
      <c r="B454">
        <f>標準化權重!B454-每日權重!B454</f>
        <v>-5.5394963216249968E-2</v>
      </c>
      <c r="C454" s="7">
        <f>標準化權重!C454-每日權重!C454</f>
        <v>1.4554191045165615E-3</v>
      </c>
      <c r="D454" s="7">
        <f>標準化權重!D454-每日權重!D454</f>
        <v>5.7368693967789763E-3</v>
      </c>
      <c r="E454" s="7">
        <f>標準化權重!E454-每日權重!E454</f>
        <v>4.8202674714954569E-2</v>
      </c>
    </row>
    <row r="455" spans="1:5">
      <c r="A455" t="s">
        <v>458</v>
      </c>
      <c r="B455">
        <f>標準化權重!B455-每日權重!B455</f>
        <v>-5.5817249302457711E-2</v>
      </c>
      <c r="C455" s="7">
        <f>標準化權重!C455-每日權重!C455</f>
        <v>1.3876952554325445E-3</v>
      </c>
      <c r="D455" s="7">
        <f>標準化權重!D455-每日權重!D455</f>
        <v>4.9312736737677776E-3</v>
      </c>
      <c r="E455" s="7">
        <f>標準化權重!E455-每日權重!E455</f>
        <v>4.9498280373257396E-2</v>
      </c>
    </row>
    <row r="456" spans="1:5">
      <c r="A456" t="s">
        <v>459</v>
      </c>
      <c r="B456">
        <f>標準化權重!B456-每日權重!B456</f>
        <v>-5.5946865397353357E-2</v>
      </c>
      <c r="C456" s="7">
        <f>標準化權重!C456-每日權重!C456</f>
        <v>1.3750520924187271E-3</v>
      </c>
      <c r="D456" s="7">
        <f>標準化權重!D456-每日權重!D456</f>
        <v>4.747016240611468E-3</v>
      </c>
      <c r="E456" s="7">
        <f>標準化權重!E456-每日權重!E456</f>
        <v>4.9824797064323287E-2</v>
      </c>
    </row>
    <row r="457" spans="1:5">
      <c r="A457" t="s">
        <v>460</v>
      </c>
      <c r="B457">
        <f>標準化權重!B457-每日權重!B457</f>
        <v>-5.7208162585979917E-2</v>
      </c>
      <c r="C457" s="7">
        <f>標準化權重!C457-每日權重!C457</f>
        <v>1.6164659066881942E-3</v>
      </c>
      <c r="D457" s="7">
        <f>標準化權重!D457-每日權重!D457</f>
        <v>7.686981708425078E-3</v>
      </c>
      <c r="E457" s="7">
        <f>標準化權重!E457-每日權重!E457</f>
        <v>4.7904714970866742E-2</v>
      </c>
    </row>
    <row r="458" spans="1:5">
      <c r="A458" t="s">
        <v>461</v>
      </c>
      <c r="B458">
        <f>標準化權重!B458-每日權重!B458</f>
        <v>-5.643156168641178E-2</v>
      </c>
      <c r="C458" s="7">
        <f>標準化權重!C458-每日權重!C458</f>
        <v>1.3704398079750074E-3</v>
      </c>
      <c r="D458" s="7">
        <f>標準化權重!D458-每日權重!D458</f>
        <v>4.8547176764603961E-3</v>
      </c>
      <c r="E458" s="7">
        <f>標準化權重!E458-每日權重!E458</f>
        <v>5.020640420197639E-2</v>
      </c>
    </row>
    <row r="459" spans="1:5">
      <c r="A459" t="s">
        <v>462</v>
      </c>
      <c r="B459">
        <f>標準化權重!B459-每日權重!B459</f>
        <v>-5.6762789102900307E-2</v>
      </c>
      <c r="C459" s="7">
        <f>標準化權重!C459-每日權重!C459</f>
        <v>1.346299471913226E-3</v>
      </c>
      <c r="D459" s="7">
        <f>標準化權重!D459-每日權重!D459</f>
        <v>4.8053843120875461E-3</v>
      </c>
      <c r="E459" s="7">
        <f>標準化權重!E459-每日權重!E459</f>
        <v>5.0611105318899632E-2</v>
      </c>
    </row>
    <row r="460" spans="1:5">
      <c r="A460" t="s">
        <v>463</v>
      </c>
      <c r="B460">
        <f>標準化權重!B460-每日權重!B460</f>
        <v>-5.6374855064344823E-2</v>
      </c>
      <c r="C460" s="7">
        <f>標準化權重!C460-每日權重!C460</f>
        <v>1.3731960162957774E-3</v>
      </c>
      <c r="D460" s="7">
        <f>標準化權重!D460-每日權重!D460</f>
        <v>5.6299017269688667E-3</v>
      </c>
      <c r="E460" s="7">
        <f>標準化權重!E460-每日權重!E460</f>
        <v>4.9371757321080241E-2</v>
      </c>
    </row>
    <row r="461" spans="1:5">
      <c r="A461" t="s">
        <v>464</v>
      </c>
      <c r="B461">
        <f>標準化權重!B461-每日權重!B461</f>
        <v>-5.7384842148711673E-2</v>
      </c>
      <c r="C461" s="7">
        <f>標準化權重!C461-每日權重!C461</f>
        <v>1.5415279695210893E-3</v>
      </c>
      <c r="D461" s="7">
        <f>標準化權重!D461-每日權重!D461</f>
        <v>7.3524292541184977E-3</v>
      </c>
      <c r="E461" s="7">
        <f>標準化權重!E461-每日權重!E461</f>
        <v>4.8490884925072149E-2</v>
      </c>
    </row>
    <row r="462" spans="1:5">
      <c r="A462" t="s">
        <v>465</v>
      </c>
      <c r="B462">
        <f>標準化權重!B462-每日權重!B462</f>
        <v>-5.7313152794032561E-2</v>
      </c>
      <c r="C462" s="7">
        <f>標準化權重!C462-每日權重!C462</f>
        <v>1.5578376600979271E-3</v>
      </c>
      <c r="D462" s="7">
        <f>標準化權重!D462-每日權重!D462</f>
        <v>7.1797177789199029E-3</v>
      </c>
      <c r="E462" s="7">
        <f>標準化權重!E462-每日權重!E462</f>
        <v>4.8575597355014891E-2</v>
      </c>
    </row>
    <row r="463" spans="1:5">
      <c r="A463" t="s">
        <v>466</v>
      </c>
      <c r="B463">
        <f>標準化權重!B463-每日權重!B463</f>
        <v>-5.6667270158104362E-2</v>
      </c>
      <c r="C463" s="7">
        <f>標準化權重!C463-每日權重!C463</f>
        <v>1.4759389468695511E-3</v>
      </c>
      <c r="D463" s="7">
        <f>標準化權重!D463-每日權重!D463</f>
        <v>6.6767383052346307E-3</v>
      </c>
      <c r="E463" s="7">
        <f>標準化權重!E463-每日權重!E463</f>
        <v>4.8514592906000312E-2</v>
      </c>
    </row>
    <row r="464" spans="1:5">
      <c r="A464" t="s">
        <v>467</v>
      </c>
      <c r="B464">
        <f>標準化權重!B464-每日權重!B464</f>
        <v>-6.0169626199424973E-2</v>
      </c>
      <c r="C464" s="7">
        <f>標準化權重!C464-每日權重!C464</f>
        <v>1.6770807552002609E-3</v>
      </c>
      <c r="D464" s="7">
        <f>標準化權重!D464-每日權重!D464</f>
        <v>9.0165266894689511E-3</v>
      </c>
      <c r="E464" s="7">
        <f>標準化權重!E464-每日權重!E464</f>
        <v>4.9476018754755921E-2</v>
      </c>
    </row>
    <row r="465" spans="1:5">
      <c r="A465" t="s">
        <v>468</v>
      </c>
      <c r="B465">
        <f>標準化權重!B465-每日權重!B465</f>
        <v>-6.0356469053263279E-2</v>
      </c>
      <c r="C465" s="7">
        <f>標準化權重!C465-每日權重!C465</f>
        <v>1.7170433024976811E-3</v>
      </c>
      <c r="D465" s="7">
        <f>標準化權重!D465-每日權重!D465</f>
        <v>9.7711278870732388E-3</v>
      </c>
      <c r="E465" s="7">
        <f>標準化權重!E465-每日權重!E465</f>
        <v>4.8868297863692373E-2</v>
      </c>
    </row>
    <row r="466" spans="1:5">
      <c r="A466" t="s">
        <v>469</v>
      </c>
      <c r="B466">
        <f>標準化權重!B466-每日權重!B466</f>
        <v>-5.9990567504832053E-2</v>
      </c>
      <c r="C466" s="7">
        <f>標準化權重!C466-每日權重!C466</f>
        <v>1.7537453785945456E-3</v>
      </c>
      <c r="D466" s="7">
        <f>標準化權重!D466-每日權重!D466</f>
        <v>1.0039657399753321E-2</v>
      </c>
      <c r="E466" s="7">
        <f>標準化權重!E466-每日權重!E466</f>
        <v>4.8197164726484269E-2</v>
      </c>
    </row>
    <row r="467" spans="1:5">
      <c r="A467" t="s">
        <v>470</v>
      </c>
      <c r="B467">
        <f>標準化權重!B467-每日權重!B467</f>
        <v>-6.0255494059093181E-2</v>
      </c>
      <c r="C467" s="7">
        <f>標準化權重!C467-每日權重!C467</f>
        <v>1.7802410822375797E-3</v>
      </c>
      <c r="D467" s="7">
        <f>標準化權重!D467-每日權重!D467</f>
        <v>1.0155215459106803E-2</v>
      </c>
      <c r="E467" s="7">
        <f>標準化權重!E467-每日權重!E467</f>
        <v>4.8320037517748771E-2</v>
      </c>
    </row>
    <row r="468" spans="1:5">
      <c r="A468" t="s">
        <v>471</v>
      </c>
      <c r="B468">
        <f>標準化權重!B468-每日權重!B468</f>
        <v>-5.8546301306454912E-2</v>
      </c>
      <c r="C468" s="7">
        <f>標準化權重!C468-每日權重!C468</f>
        <v>1.6863851221229909E-3</v>
      </c>
      <c r="D468" s="7">
        <f>標準化權重!D468-每日權重!D468</f>
        <v>9.0145332510003229E-3</v>
      </c>
      <c r="E468" s="7">
        <f>標準化權重!E468-每日權重!E468</f>
        <v>4.7845382933331793E-2</v>
      </c>
    </row>
    <row r="469" spans="1:5">
      <c r="A469" t="s">
        <v>472</v>
      </c>
      <c r="B469">
        <f>標準化權重!B469-每日權重!B469</f>
        <v>-5.7334053221854718E-2</v>
      </c>
      <c r="C469" s="7">
        <f>標準化權重!C469-每日權重!C469</f>
        <v>1.6426422303433552E-3</v>
      </c>
      <c r="D469" s="7">
        <f>標準化權重!D469-每日權重!D469</f>
        <v>8.8469535178075098E-3</v>
      </c>
      <c r="E469" s="7">
        <f>標準化權重!E469-每日權重!E469</f>
        <v>4.6844457473703895E-2</v>
      </c>
    </row>
    <row r="470" spans="1:5">
      <c r="A470" t="s">
        <v>473</v>
      </c>
      <c r="B470">
        <f>標準化權重!B470-每日權重!B470</f>
        <v>-5.7340762223888432E-2</v>
      </c>
      <c r="C470" s="7">
        <f>標準化權重!C470-每日權重!C470</f>
        <v>1.6476456673926998E-3</v>
      </c>
      <c r="D470" s="7">
        <f>標準化權重!D470-每日權重!D470</f>
        <v>8.4762757671221767E-3</v>
      </c>
      <c r="E470" s="7">
        <f>標準化權重!E470-每日權重!E470</f>
        <v>4.7216840789373715E-2</v>
      </c>
    </row>
    <row r="471" spans="1:5">
      <c r="A471" t="s">
        <v>474</v>
      </c>
      <c r="B471">
        <f>標準化權重!B471-每日權重!B471</f>
        <v>-5.6371615305428321E-2</v>
      </c>
      <c r="C471" s="7">
        <f>標準化權重!C471-每日權重!C471</f>
        <v>1.5921358404494546E-3</v>
      </c>
      <c r="D471" s="7">
        <f>標準化權重!D471-每日權重!D471</f>
        <v>8.2310378343503077E-3</v>
      </c>
      <c r="E471" s="7">
        <f>標準化權重!E471-每日權重!E471</f>
        <v>4.6548441630628698E-2</v>
      </c>
    </row>
    <row r="472" spans="1:5">
      <c r="A472" t="s">
        <v>475</v>
      </c>
      <c r="B472">
        <f>標準化權重!B472-每日權重!B472</f>
        <v>-5.6548562466862039E-2</v>
      </c>
      <c r="C472" s="7">
        <f>標準化權重!C472-每日權重!C472</f>
        <v>1.2865782172698653E-3</v>
      </c>
      <c r="D472" s="7">
        <f>標準化權重!D472-每日權重!D472</f>
        <v>7.6264726157905249E-3</v>
      </c>
      <c r="E472" s="7">
        <f>標準化權重!E472-每日權重!E472</f>
        <v>4.7635511633801822E-2</v>
      </c>
    </row>
    <row r="473" spans="1:5">
      <c r="A473" t="s">
        <v>476</v>
      </c>
      <c r="B473">
        <f>標準化權重!B473-每日權重!B473</f>
        <v>-5.580433241743786E-2</v>
      </c>
      <c r="C473" s="7">
        <f>標準化權重!C473-每日權重!C473</f>
        <v>1.2505832099670849E-3</v>
      </c>
      <c r="D473" s="7">
        <f>標準化權重!D473-每日權重!D473</f>
        <v>7.2167765580312127E-3</v>
      </c>
      <c r="E473" s="7">
        <f>標準化權重!E473-每日權重!E473</f>
        <v>4.733697264943966E-2</v>
      </c>
    </row>
    <row r="474" spans="1:5">
      <c r="A474" t="s">
        <v>477</v>
      </c>
      <c r="B474">
        <f>標準化權重!B474-每日權重!B474</f>
        <v>-5.5993129000148398E-2</v>
      </c>
      <c r="C474" s="7">
        <f>標準化權重!C474-每日權重!C474</f>
        <v>1.1887936354871842E-3</v>
      </c>
      <c r="D474" s="7">
        <f>標準化權重!D474-每日權重!D474</f>
        <v>6.5211801068538744E-3</v>
      </c>
      <c r="E474" s="7">
        <f>標準化權重!E474-每日權重!E474</f>
        <v>4.8283155257807443E-2</v>
      </c>
    </row>
    <row r="475" spans="1:5">
      <c r="A475" t="s">
        <v>478</v>
      </c>
      <c r="B475">
        <f>標準化權重!B475-每日權重!B475</f>
        <v>-5.5350256960692297E-2</v>
      </c>
      <c r="C475" s="7">
        <f>標準化權重!C475-每日權重!C475</f>
        <v>1.097592509343534E-3</v>
      </c>
      <c r="D475" s="7">
        <f>標準化權重!D475-每日權重!D475</f>
        <v>5.470102090715856E-3</v>
      </c>
      <c r="E475" s="7">
        <f>標準化權重!E475-每日權重!E475</f>
        <v>4.8782562360633025E-2</v>
      </c>
    </row>
    <row r="476" spans="1:5">
      <c r="A476" t="s">
        <v>479</v>
      </c>
      <c r="B476">
        <f>標準化權重!B476-每日權重!B476</f>
        <v>-5.4905445465255297E-2</v>
      </c>
      <c r="C476" s="7">
        <f>標準化權重!C476-每日權重!C476</f>
        <v>1.0482239796257981E-3</v>
      </c>
      <c r="D476" s="7">
        <f>標準化權重!D476-每日權重!D476</f>
        <v>4.9005194287777831E-3</v>
      </c>
      <c r="E476" s="7">
        <f>標準化權重!E476-每日權重!E476</f>
        <v>4.8956702056851875E-2</v>
      </c>
    </row>
    <row r="477" spans="1:5">
      <c r="A477" t="s">
        <v>480</v>
      </c>
      <c r="B477">
        <f>標準化權重!B477-每日權重!B477</f>
        <v>-5.497265320109572E-2</v>
      </c>
      <c r="C477" s="7">
        <f>標準化權重!C477-每日權重!C477</f>
        <v>1.0504641925224573E-3</v>
      </c>
      <c r="D477" s="7">
        <f>標準化權重!D477-每日權重!D477</f>
        <v>4.957434343870637E-3</v>
      </c>
      <c r="E477" s="7">
        <f>標準化權重!E477-每日權重!E477</f>
        <v>4.896475466470273E-2</v>
      </c>
    </row>
    <row r="478" spans="1:5">
      <c r="A478" t="s">
        <v>481</v>
      </c>
      <c r="B478">
        <f>標準化權重!B478-每日權重!B478</f>
        <v>-5.6037568072880427E-2</v>
      </c>
      <c r="C478" s="7">
        <f>標準化權重!C478-每日權重!C478</f>
        <v>1.1615144348421508E-3</v>
      </c>
      <c r="D478" s="7">
        <f>標準化權重!D478-每日權重!D478</f>
        <v>5.9997322248204199E-3</v>
      </c>
      <c r="E478" s="7">
        <f>標準化權重!E478-每日權重!E478</f>
        <v>4.8876321413217877E-2</v>
      </c>
    </row>
    <row r="479" spans="1:5">
      <c r="A479" t="s">
        <v>482</v>
      </c>
      <c r="B479">
        <f>標準化權重!B479-每日權重!B479</f>
        <v>-5.7205610448987712E-2</v>
      </c>
      <c r="C479" s="7">
        <f>標準化權重!C479-每日權重!C479</f>
        <v>1.3164256724460671E-3</v>
      </c>
      <c r="D479" s="7">
        <f>標準化權重!D479-每日權重!D479</f>
        <v>8.0799633338634047E-3</v>
      </c>
      <c r="E479" s="7">
        <f>標準化權重!E479-每日權重!E479</f>
        <v>4.7809221442678351E-2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6"/>
  <dimension ref="A1:E479"/>
  <sheetViews>
    <sheetView zoomScale="160" zoomScaleNormal="160" workbookViewId="0">
      <selection activeCell="D3" sqref="D3"/>
    </sheetView>
  </sheetViews>
  <sheetFormatPr baseColWidth="10" defaultColWidth="9" defaultRowHeight="14"/>
  <sheetData>
    <row r="1" spans="1: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5">
      <c r="A2" t="s">
        <v>5</v>
      </c>
      <c r="C2">
        <v>8.065275799830085E-2</v>
      </c>
      <c r="D2">
        <v>0.83447277966633893</v>
      </c>
      <c r="E2">
        <v>8.487446233536021E-2</v>
      </c>
    </row>
    <row r="3" spans="1:5">
      <c r="A3" t="s">
        <v>6</v>
      </c>
      <c r="C3">
        <v>8.0420933274956419E-2</v>
      </c>
      <c r="D3">
        <v>0.83896755632860265</v>
      </c>
      <c r="E3">
        <v>8.0611510396441058E-2</v>
      </c>
    </row>
    <row r="4" spans="1:5">
      <c r="A4" t="s">
        <v>7</v>
      </c>
      <c r="C4">
        <v>8.0938457341322226E-2</v>
      </c>
      <c r="D4">
        <v>0.83854325574616817</v>
      </c>
      <c r="E4">
        <v>8.0518286912509562E-2</v>
      </c>
    </row>
    <row r="5" spans="1:5">
      <c r="A5" t="s">
        <v>8</v>
      </c>
      <c r="C5">
        <v>7.8353646073273608E-2</v>
      </c>
      <c r="D5">
        <v>0.84186630313347721</v>
      </c>
      <c r="E5">
        <v>7.9780050793249319E-2</v>
      </c>
    </row>
    <row r="6" spans="1:5">
      <c r="A6" t="s">
        <v>9</v>
      </c>
      <c r="C6">
        <v>7.7607581179176641E-2</v>
      </c>
      <c r="D6">
        <v>0.84229028909020365</v>
      </c>
      <c r="E6">
        <v>8.0102129730619739E-2</v>
      </c>
    </row>
    <row r="7" spans="1:5">
      <c r="A7" t="s">
        <v>10</v>
      </c>
      <c r="C7">
        <v>7.7146879631195389E-2</v>
      </c>
      <c r="D7">
        <v>0.84277688473657997</v>
      </c>
      <c r="E7">
        <v>8.0076235632224713E-2</v>
      </c>
    </row>
    <row r="8" spans="1:5">
      <c r="A8" t="s">
        <v>11</v>
      </c>
      <c r="C8">
        <v>7.7306468933738423E-2</v>
      </c>
      <c r="D8">
        <v>0.84319649896843507</v>
      </c>
      <c r="E8">
        <v>7.9497032097826451E-2</v>
      </c>
    </row>
    <row r="9" spans="1:5">
      <c r="A9" t="s">
        <v>12</v>
      </c>
      <c r="C9">
        <v>7.7489292897537809E-2</v>
      </c>
      <c r="D9">
        <v>0.84230598550313907</v>
      </c>
      <c r="E9">
        <v>8.020472159932325E-2</v>
      </c>
    </row>
    <row r="10" spans="1:5">
      <c r="A10" t="s">
        <v>13</v>
      </c>
      <c r="C10">
        <v>7.6938154341354467E-2</v>
      </c>
      <c r="D10">
        <v>0.84337511710042223</v>
      </c>
      <c r="E10">
        <v>7.9686728558223202E-2</v>
      </c>
    </row>
    <row r="11" spans="1:5">
      <c r="A11" t="s">
        <v>14</v>
      </c>
      <c r="C11">
        <v>7.7791432964817789E-2</v>
      </c>
      <c r="D11">
        <v>0.84399751644814525</v>
      </c>
      <c r="E11">
        <v>7.8211050587037034E-2</v>
      </c>
    </row>
    <row r="12" spans="1:5">
      <c r="A12" t="s">
        <v>15</v>
      </c>
      <c r="C12">
        <v>7.6781599061857483E-2</v>
      </c>
      <c r="D12">
        <v>0.8463261763953962</v>
      </c>
      <c r="E12">
        <v>7.6892224542746315E-2</v>
      </c>
    </row>
    <row r="13" spans="1:5">
      <c r="A13" t="s">
        <v>16</v>
      </c>
      <c r="C13">
        <v>7.6811997197456114E-2</v>
      </c>
      <c r="D13">
        <v>0.84571162200440686</v>
      </c>
      <c r="E13">
        <v>7.7476380798137012E-2</v>
      </c>
    </row>
    <row r="14" spans="1:5">
      <c r="A14" t="s">
        <v>17</v>
      </c>
      <c r="C14">
        <v>7.309916775112707E-2</v>
      </c>
      <c r="D14">
        <v>0.85173031980422009</v>
      </c>
      <c r="E14">
        <v>7.5170512444652782E-2</v>
      </c>
    </row>
    <row r="15" spans="1:5">
      <c r="A15" t="s">
        <v>18</v>
      </c>
      <c r="C15">
        <v>7.2682597069969851E-2</v>
      </c>
      <c r="D15">
        <v>0.85196290464146407</v>
      </c>
      <c r="E15">
        <v>7.5354498288566205E-2</v>
      </c>
    </row>
    <row r="16" spans="1:5">
      <c r="A16" t="s">
        <v>19</v>
      </c>
      <c r="C16">
        <v>7.3290649051845624E-2</v>
      </c>
      <c r="D16">
        <v>0.85244867743242358</v>
      </c>
      <c r="E16">
        <v>7.4260673515730735E-2</v>
      </c>
    </row>
    <row r="17" spans="1:5">
      <c r="A17" t="s">
        <v>20</v>
      </c>
      <c r="C17">
        <v>7.2904665043486E-2</v>
      </c>
      <c r="D17">
        <v>0.85082100191311116</v>
      </c>
      <c r="E17">
        <v>7.6274333043402823E-2</v>
      </c>
    </row>
    <row r="18" spans="1:5">
      <c r="A18" t="s">
        <v>21</v>
      </c>
      <c r="C18">
        <v>7.239906460790016E-2</v>
      </c>
      <c r="D18">
        <v>0.85241133287283211</v>
      </c>
      <c r="E18">
        <v>7.5189602519267734E-2</v>
      </c>
    </row>
    <row r="19" spans="1:5">
      <c r="A19" t="s">
        <v>22</v>
      </c>
      <c r="C19">
        <v>7.2575988015864346E-2</v>
      </c>
      <c r="D19">
        <v>0.85297511752440747</v>
      </c>
      <c r="E19">
        <v>7.4448894459728132E-2</v>
      </c>
    </row>
    <row r="20" spans="1:5">
      <c r="A20" t="s">
        <v>23</v>
      </c>
      <c r="C20">
        <v>7.2182085974593038E-2</v>
      </c>
      <c r="D20">
        <v>0.85361487125699664</v>
      </c>
      <c r="E20">
        <v>7.4203042768410221E-2</v>
      </c>
    </row>
    <row r="21" spans="1:5">
      <c r="A21" t="s">
        <v>24</v>
      </c>
      <c r="C21">
        <v>7.2283794411285782E-2</v>
      </c>
      <c r="D21">
        <v>0.85105416586427007</v>
      </c>
      <c r="E21">
        <v>7.6662039724444214E-2</v>
      </c>
    </row>
    <row r="22" spans="1:5">
      <c r="A22" t="s">
        <v>25</v>
      </c>
      <c r="C22">
        <v>7.396699247926905E-2</v>
      </c>
      <c r="D22">
        <v>0.84772529561645948</v>
      </c>
      <c r="E22">
        <v>7.8307711904271451E-2</v>
      </c>
    </row>
    <row r="23" spans="1:5">
      <c r="A23" t="s">
        <v>26</v>
      </c>
      <c r="C23">
        <v>7.4518386749836879E-2</v>
      </c>
      <c r="D23">
        <v>0.84989889949471165</v>
      </c>
      <c r="E23">
        <v>7.5582713755451503E-2</v>
      </c>
    </row>
    <row r="24" spans="1:5">
      <c r="A24" t="s">
        <v>27</v>
      </c>
      <c r="C24">
        <v>7.3119462843030461E-2</v>
      </c>
      <c r="D24">
        <v>0.85150646447676126</v>
      </c>
      <c r="E24">
        <v>7.537407268020839E-2</v>
      </c>
    </row>
    <row r="25" spans="1:5">
      <c r="A25" t="s">
        <v>28</v>
      </c>
      <c r="C25">
        <v>7.1723015248853536E-2</v>
      </c>
      <c r="D25">
        <v>0.85389882985703502</v>
      </c>
      <c r="E25">
        <v>7.4378154894111426E-2</v>
      </c>
    </row>
    <row r="26" spans="1:5">
      <c r="A26" t="s">
        <v>29</v>
      </c>
      <c r="C26">
        <v>6.6710753227489109E-2</v>
      </c>
      <c r="D26">
        <v>0.86116952406163483</v>
      </c>
      <c r="E26">
        <v>7.2119722710876064E-2</v>
      </c>
    </row>
    <row r="27" spans="1:5">
      <c r="A27" t="s">
        <v>30</v>
      </c>
      <c r="C27">
        <v>6.8208437309671049E-2</v>
      </c>
      <c r="D27">
        <v>0.85856694639819242</v>
      </c>
      <c r="E27">
        <v>7.3224616292136571E-2</v>
      </c>
    </row>
    <row r="28" spans="1:5">
      <c r="A28" t="s">
        <v>31</v>
      </c>
      <c r="C28">
        <v>6.9620639046195754E-2</v>
      </c>
      <c r="D28">
        <v>0.85725865417449687</v>
      </c>
      <c r="E28">
        <v>7.3120706779307335E-2</v>
      </c>
    </row>
    <row r="29" spans="1:5">
      <c r="A29" t="s">
        <v>32</v>
      </c>
      <c r="C29">
        <v>6.9049894532802386E-2</v>
      </c>
      <c r="D29">
        <v>0.85735524768179727</v>
      </c>
      <c r="E29">
        <v>7.3594857785400328E-2</v>
      </c>
    </row>
    <row r="30" spans="1:5">
      <c r="A30" t="s">
        <v>33</v>
      </c>
      <c r="C30">
        <v>6.9263246094137379E-2</v>
      </c>
      <c r="D30">
        <v>0.85663168134307044</v>
      </c>
      <c r="E30">
        <v>7.4105072562792224E-2</v>
      </c>
    </row>
    <row r="31" spans="1:5">
      <c r="A31" t="s">
        <v>34</v>
      </c>
      <c r="C31">
        <v>6.8453459816963297E-2</v>
      </c>
      <c r="D31">
        <v>0.85613559074011869</v>
      </c>
      <c r="E31">
        <v>7.5410949442918082E-2</v>
      </c>
    </row>
    <row r="32" spans="1:5">
      <c r="A32" t="s">
        <v>35</v>
      </c>
      <c r="C32">
        <v>6.7303650361505624E-2</v>
      </c>
      <c r="D32">
        <v>0.851952882701421</v>
      </c>
      <c r="E32">
        <v>8.0743466937073377E-2</v>
      </c>
    </row>
    <row r="33" spans="1:5">
      <c r="A33" t="s">
        <v>36</v>
      </c>
      <c r="C33">
        <v>6.7451615065556803E-2</v>
      </c>
      <c r="D33">
        <v>0.8509201918047421</v>
      </c>
      <c r="E33">
        <v>8.1628193129701057E-2</v>
      </c>
    </row>
    <row r="34" spans="1:5">
      <c r="A34" t="s">
        <v>37</v>
      </c>
      <c r="C34">
        <v>6.7451615065556803E-2</v>
      </c>
      <c r="D34">
        <v>0.8509201918047421</v>
      </c>
      <c r="E34">
        <v>8.1628193129701057E-2</v>
      </c>
    </row>
    <row r="35" spans="1:5">
      <c r="A35" t="s">
        <v>38</v>
      </c>
      <c r="C35">
        <v>6.7684039549045394E-2</v>
      </c>
      <c r="D35">
        <v>0.84816342411530443</v>
      </c>
      <c r="E35">
        <v>8.4152536335650091E-2</v>
      </c>
    </row>
    <row r="36" spans="1:5">
      <c r="A36" t="s">
        <v>39</v>
      </c>
      <c r="C36">
        <v>6.7327867134178321E-2</v>
      </c>
      <c r="D36">
        <v>0.85073697857555797</v>
      </c>
      <c r="E36">
        <v>8.1935154290263587E-2</v>
      </c>
    </row>
    <row r="37" spans="1:5">
      <c r="A37" t="s">
        <v>40</v>
      </c>
      <c r="C37">
        <v>6.6902397618244222E-2</v>
      </c>
      <c r="D37">
        <v>0.85194485494317407</v>
      </c>
      <c r="E37">
        <v>8.1152747438581807E-2</v>
      </c>
    </row>
    <row r="38" spans="1:5">
      <c r="A38" t="s">
        <v>41</v>
      </c>
      <c r="C38">
        <v>6.6488287302596316E-2</v>
      </c>
      <c r="D38">
        <v>0.85251062788606835</v>
      </c>
      <c r="E38">
        <v>8.1001084811335333E-2</v>
      </c>
    </row>
    <row r="39" spans="1:5">
      <c r="A39" t="s">
        <v>42</v>
      </c>
      <c r="C39">
        <v>6.5941389711947879E-2</v>
      </c>
      <c r="D39">
        <v>0.85128940942611686</v>
      </c>
      <c r="E39">
        <v>8.2769200861935177E-2</v>
      </c>
    </row>
    <row r="40" spans="1:5">
      <c r="A40" t="s">
        <v>43</v>
      </c>
      <c r="C40">
        <v>6.4474376531421199E-2</v>
      </c>
      <c r="D40">
        <v>0.85265566690248773</v>
      </c>
      <c r="E40">
        <v>8.2869956566091071E-2</v>
      </c>
    </row>
    <row r="41" spans="1:5">
      <c r="A41" t="s">
        <v>44</v>
      </c>
      <c r="C41">
        <v>6.1413439652413311E-2</v>
      </c>
      <c r="D41">
        <v>0.85777145427434653</v>
      </c>
      <c r="E41">
        <v>8.0815106073240245E-2</v>
      </c>
    </row>
    <row r="42" spans="1:5">
      <c r="A42" t="s">
        <v>45</v>
      </c>
      <c r="C42">
        <v>6.517892159189409E-2</v>
      </c>
      <c r="D42">
        <v>0.85291003597070836</v>
      </c>
      <c r="E42">
        <v>8.1911042437397566E-2</v>
      </c>
    </row>
    <row r="43" spans="1:5">
      <c r="A43" t="s">
        <v>46</v>
      </c>
      <c r="C43">
        <v>7.0171298987499353E-2</v>
      </c>
      <c r="D43">
        <v>0.84934607365502413</v>
      </c>
      <c r="E43">
        <v>8.0482627357476494E-2</v>
      </c>
    </row>
    <row r="44" spans="1:5">
      <c r="A44" t="s">
        <v>47</v>
      </c>
      <c r="C44">
        <v>7.0295777862086226E-2</v>
      </c>
      <c r="D44">
        <v>0.85008246000265719</v>
      </c>
      <c r="E44">
        <v>7.9621762135256582E-2</v>
      </c>
    </row>
    <row r="45" spans="1:5">
      <c r="A45" t="s">
        <v>48</v>
      </c>
      <c r="C45">
        <v>7.0482560630443336E-2</v>
      </c>
      <c r="D45">
        <v>0.85426727437973071</v>
      </c>
      <c r="E45">
        <v>7.5250164989825827E-2</v>
      </c>
    </row>
    <row r="46" spans="1:5">
      <c r="A46" t="s">
        <v>49</v>
      </c>
      <c r="C46">
        <v>7.9133699919529149E-2</v>
      </c>
      <c r="D46">
        <v>0.8444305177616579</v>
      </c>
      <c r="E46">
        <v>7.6435782318812928E-2</v>
      </c>
    </row>
    <row r="47" spans="1:5">
      <c r="A47" t="s">
        <v>50</v>
      </c>
      <c r="C47">
        <v>8.0472198699596847E-2</v>
      </c>
      <c r="D47">
        <v>0.84175886950269607</v>
      </c>
      <c r="E47">
        <v>7.7768931797707094E-2</v>
      </c>
    </row>
    <row r="48" spans="1:5">
      <c r="A48" t="s">
        <v>51</v>
      </c>
      <c r="C48">
        <v>8.0757510194155321E-2</v>
      </c>
      <c r="D48">
        <v>0.84253192759033513</v>
      </c>
      <c r="E48">
        <v>7.671056221550944E-2</v>
      </c>
    </row>
    <row r="49" spans="1:5">
      <c r="A49" t="s">
        <v>52</v>
      </c>
      <c r="C49">
        <v>8.2321265108633274E-2</v>
      </c>
      <c r="D49">
        <v>0.84195627637870663</v>
      </c>
      <c r="E49">
        <v>7.5722458512660032E-2</v>
      </c>
    </row>
    <row r="50" spans="1:5">
      <c r="A50" t="s">
        <v>53</v>
      </c>
      <c r="C50">
        <v>8.2351126079233533E-2</v>
      </c>
      <c r="D50">
        <v>0.84364186671688102</v>
      </c>
      <c r="E50">
        <v>7.4007007203885519E-2</v>
      </c>
    </row>
    <row r="51" spans="1:5">
      <c r="A51" t="s">
        <v>54</v>
      </c>
      <c r="C51">
        <v>8.3930736717862012E-2</v>
      </c>
      <c r="D51">
        <v>0.84316987615116956</v>
      </c>
      <c r="E51">
        <v>7.2899387130968357E-2</v>
      </c>
    </row>
    <row r="52" spans="1:5">
      <c r="A52" t="s">
        <v>55</v>
      </c>
      <c r="C52">
        <v>8.4411418047901615E-2</v>
      </c>
      <c r="D52">
        <v>0.84259754419177113</v>
      </c>
      <c r="E52">
        <v>7.2991037760327282E-2</v>
      </c>
    </row>
    <row r="53" spans="1:5">
      <c r="A53" t="s">
        <v>56</v>
      </c>
      <c r="C53">
        <v>8.23165562314878E-2</v>
      </c>
      <c r="D53">
        <v>0.8440982216617825</v>
      </c>
      <c r="E53">
        <v>7.3585222106729534E-2</v>
      </c>
    </row>
    <row r="54" spans="1:5">
      <c r="A54" t="s">
        <v>57</v>
      </c>
      <c r="C54">
        <v>8.584343586919109E-2</v>
      </c>
      <c r="D54">
        <v>0.83850465775499461</v>
      </c>
      <c r="E54">
        <v>7.5651906375814301E-2</v>
      </c>
    </row>
    <row r="55" spans="1:5">
      <c r="A55" t="s">
        <v>58</v>
      </c>
      <c r="C55">
        <v>9.0527426814896617E-2</v>
      </c>
      <c r="D55">
        <v>0.83361113275014487</v>
      </c>
      <c r="E55">
        <v>7.5861440434958585E-2</v>
      </c>
    </row>
    <row r="56" spans="1:5">
      <c r="A56" t="s">
        <v>59</v>
      </c>
      <c r="C56">
        <v>8.6467117050339257E-2</v>
      </c>
      <c r="D56">
        <v>0.83615070690830895</v>
      </c>
      <c r="E56">
        <v>7.738217604135196E-2</v>
      </c>
    </row>
    <row r="57" spans="1:5">
      <c r="A57" t="s">
        <v>60</v>
      </c>
      <c r="C57">
        <v>8.7776930613356063E-2</v>
      </c>
      <c r="D57">
        <v>0.83622278935568295</v>
      </c>
      <c r="E57">
        <v>7.6000280030961001E-2</v>
      </c>
    </row>
    <row r="58" spans="1:5">
      <c r="A58" t="s">
        <v>61</v>
      </c>
      <c r="C58">
        <v>9.0295974359066375E-2</v>
      </c>
      <c r="D58">
        <v>0.83538320394630483</v>
      </c>
      <c r="E58">
        <v>7.4320821694628891E-2</v>
      </c>
    </row>
    <row r="59" spans="1:5">
      <c r="A59" t="s">
        <v>62</v>
      </c>
      <c r="C59">
        <v>9.1290441711904605E-2</v>
      </c>
      <c r="D59">
        <v>0.83389269675436062</v>
      </c>
      <c r="E59">
        <v>7.481686153373486E-2</v>
      </c>
    </row>
    <row r="60" spans="1:5">
      <c r="A60" t="s">
        <v>63</v>
      </c>
      <c r="C60">
        <v>9.0536288003529891E-2</v>
      </c>
      <c r="D60">
        <v>0.83543899586379511</v>
      </c>
      <c r="E60">
        <v>7.4024716132674945E-2</v>
      </c>
    </row>
    <row r="61" spans="1:5">
      <c r="A61" t="s">
        <v>64</v>
      </c>
      <c r="C61">
        <v>8.7133323794747253E-2</v>
      </c>
      <c r="D61">
        <v>0.84100480921602749</v>
      </c>
      <c r="E61">
        <v>7.1861866989225268E-2</v>
      </c>
    </row>
    <row r="62" spans="1:5">
      <c r="A62" t="s">
        <v>65</v>
      </c>
      <c r="C62">
        <v>8.5534120457049514E-2</v>
      </c>
      <c r="D62">
        <v>0.84014820217916375</v>
      </c>
      <c r="E62">
        <v>7.4317677363786694E-2</v>
      </c>
    </row>
    <row r="63" spans="1:5">
      <c r="A63" t="s">
        <v>66</v>
      </c>
      <c r="C63">
        <v>8.2796602355823382E-2</v>
      </c>
      <c r="D63">
        <v>0.84279605145793135</v>
      </c>
      <c r="E63">
        <v>7.440734618624531E-2</v>
      </c>
    </row>
    <row r="64" spans="1:5">
      <c r="A64" t="s">
        <v>67</v>
      </c>
      <c r="C64">
        <v>8.3324207964776895E-2</v>
      </c>
      <c r="D64">
        <v>0.84328695352280048</v>
      </c>
      <c r="E64">
        <v>7.3388838512422616E-2</v>
      </c>
    </row>
    <row r="65" spans="1:5">
      <c r="A65" t="s">
        <v>68</v>
      </c>
      <c r="C65">
        <v>8.2416498135801694E-2</v>
      </c>
      <c r="D65">
        <v>0.84719566913226829</v>
      </c>
      <c r="E65">
        <v>7.0387832731930097E-2</v>
      </c>
    </row>
    <row r="66" spans="1:5">
      <c r="A66" t="s">
        <v>69</v>
      </c>
      <c r="C66">
        <v>8.165416381893692E-2</v>
      </c>
      <c r="D66">
        <v>0.84971409839111933</v>
      </c>
      <c r="E66">
        <v>6.8631737789943748E-2</v>
      </c>
    </row>
    <row r="67" spans="1:5">
      <c r="A67" t="s">
        <v>70</v>
      </c>
      <c r="C67">
        <v>8.3166535051299381E-2</v>
      </c>
      <c r="D67">
        <v>0.8498737501552488</v>
      </c>
      <c r="E67">
        <v>6.6959714793451752E-2</v>
      </c>
    </row>
    <row r="68" spans="1:5">
      <c r="A68" t="s">
        <v>71</v>
      </c>
      <c r="C68">
        <v>8.3946586126593906E-2</v>
      </c>
      <c r="D68">
        <v>0.84915066907453129</v>
      </c>
      <c r="E68">
        <v>6.6902744798874855E-2</v>
      </c>
    </row>
    <row r="69" spans="1:5">
      <c r="A69" t="s">
        <v>72</v>
      </c>
      <c r="C69">
        <v>8.6610344711033405E-2</v>
      </c>
      <c r="D69">
        <v>0.8458286207776009</v>
      </c>
      <c r="E69">
        <v>6.7561034511365733E-2</v>
      </c>
    </row>
    <row r="70" spans="1:5">
      <c r="A70" t="s">
        <v>73</v>
      </c>
      <c r="C70">
        <v>8.7561187311869446E-2</v>
      </c>
      <c r="D70">
        <v>0.84599324080285376</v>
      </c>
      <c r="E70">
        <v>6.6445571885276833E-2</v>
      </c>
    </row>
    <row r="71" spans="1:5">
      <c r="A71" t="s">
        <v>74</v>
      </c>
      <c r="C71">
        <v>8.689554334229635E-2</v>
      </c>
      <c r="D71">
        <v>0.84721520291280439</v>
      </c>
      <c r="E71">
        <v>6.5889253744899109E-2</v>
      </c>
    </row>
    <row r="72" spans="1:5">
      <c r="A72" t="s">
        <v>75</v>
      </c>
      <c r="C72">
        <v>9.030757936885643E-2</v>
      </c>
      <c r="D72">
        <v>0.84401224737266667</v>
      </c>
      <c r="E72">
        <v>6.5680173258476873E-2</v>
      </c>
    </row>
    <row r="73" spans="1:5">
      <c r="A73" t="s">
        <v>76</v>
      </c>
      <c r="C73">
        <v>8.9750254638581439E-2</v>
      </c>
      <c r="D73">
        <v>0.84496595270056141</v>
      </c>
      <c r="E73">
        <v>6.528379266085714E-2</v>
      </c>
    </row>
    <row r="74" spans="1:5">
      <c r="A74" t="s">
        <v>77</v>
      </c>
      <c r="C74">
        <v>8.9906876934720367E-2</v>
      </c>
      <c r="D74">
        <v>0.84460831055687569</v>
      </c>
      <c r="E74">
        <v>6.5484812508403933E-2</v>
      </c>
    </row>
    <row r="75" spans="1:5">
      <c r="A75" t="s">
        <v>78</v>
      </c>
      <c r="C75">
        <v>9.0424897479712635E-2</v>
      </c>
      <c r="D75">
        <v>0.84452647861083141</v>
      </c>
      <c r="E75">
        <v>6.5048623909455885E-2</v>
      </c>
    </row>
    <row r="76" spans="1:5">
      <c r="A76" t="s">
        <v>79</v>
      </c>
      <c r="C76">
        <v>8.9735523465743774E-2</v>
      </c>
      <c r="D76">
        <v>0.84616347911875134</v>
      </c>
      <c r="E76">
        <v>6.4100997415504901E-2</v>
      </c>
    </row>
    <row r="77" spans="1:5">
      <c r="A77" t="s">
        <v>80</v>
      </c>
      <c r="C77">
        <v>9.0384919765457011E-2</v>
      </c>
      <c r="D77">
        <v>0.84368424632552386</v>
      </c>
      <c r="E77">
        <v>6.5930833909019132E-2</v>
      </c>
    </row>
    <row r="78" spans="1:5">
      <c r="A78" t="s">
        <v>81</v>
      </c>
      <c r="C78">
        <v>9.0423580811575657E-2</v>
      </c>
      <c r="D78">
        <v>0.84185847656951429</v>
      </c>
      <c r="E78">
        <v>6.7717942618910107E-2</v>
      </c>
    </row>
    <row r="79" spans="1:5">
      <c r="A79" t="s">
        <v>82</v>
      </c>
      <c r="C79">
        <v>9.5860858560036788E-2</v>
      </c>
      <c r="D79">
        <v>0.83759954453284124</v>
      </c>
      <c r="E79">
        <v>6.6539596907121995E-2</v>
      </c>
    </row>
    <row r="80" spans="1:5">
      <c r="A80" t="s">
        <v>83</v>
      </c>
      <c r="C80">
        <v>9.5411466736355824E-2</v>
      </c>
      <c r="D80">
        <v>0.83850998805547905</v>
      </c>
      <c r="E80">
        <v>6.6078545208165265E-2</v>
      </c>
    </row>
    <row r="81" spans="1:5">
      <c r="A81" t="s">
        <v>84</v>
      </c>
      <c r="C81">
        <v>9.4912424058501019E-2</v>
      </c>
      <c r="D81">
        <v>0.83620953362954842</v>
      </c>
      <c r="E81">
        <v>6.8878042311950397E-2</v>
      </c>
    </row>
    <row r="82" spans="1:5">
      <c r="A82" t="s">
        <v>85</v>
      </c>
      <c r="C82">
        <v>9.6019303043772639E-2</v>
      </c>
      <c r="D82">
        <v>0.83470807945196368</v>
      </c>
      <c r="E82">
        <v>6.9272617504263709E-2</v>
      </c>
    </row>
    <row r="83" spans="1:5">
      <c r="A83" t="s">
        <v>86</v>
      </c>
      <c r="C83">
        <v>9.4912424058501046E-2</v>
      </c>
      <c r="D83">
        <v>0.83620953362954864</v>
      </c>
      <c r="E83">
        <v>6.887804231195041E-2</v>
      </c>
    </row>
    <row r="84" spans="1:5">
      <c r="A84" t="s">
        <v>87</v>
      </c>
      <c r="C84">
        <v>9.3144249430414341E-2</v>
      </c>
      <c r="D84">
        <v>0.83802626476606523</v>
      </c>
      <c r="E84">
        <v>6.8829485803520454E-2</v>
      </c>
    </row>
    <row r="85" spans="1:5">
      <c r="A85" t="s">
        <v>88</v>
      </c>
      <c r="C85">
        <v>9.3583865458708781E-2</v>
      </c>
      <c r="D85">
        <v>0.83582212816768975</v>
      </c>
      <c r="E85">
        <v>7.059400637360147E-2</v>
      </c>
    </row>
    <row r="86" spans="1:5">
      <c r="A86" t="s">
        <v>89</v>
      </c>
      <c r="C86">
        <v>9.1544011617940554E-2</v>
      </c>
      <c r="D86">
        <v>0.83879320001974267</v>
      </c>
      <c r="E86">
        <v>6.9662788362316819E-2</v>
      </c>
    </row>
    <row r="87" spans="1:5">
      <c r="A87" t="s">
        <v>90</v>
      </c>
      <c r="C87">
        <v>9.1654967910456228E-2</v>
      </c>
      <c r="D87">
        <v>0.83690326970456974</v>
      </c>
      <c r="E87">
        <v>7.1441762384973892E-2</v>
      </c>
    </row>
    <row r="88" spans="1:5">
      <c r="A88" t="s">
        <v>91</v>
      </c>
      <c r="C88">
        <v>9.1611248000797812E-2</v>
      </c>
      <c r="D88">
        <v>0.83786439806734847</v>
      </c>
      <c r="E88">
        <v>7.0524353931853745E-2</v>
      </c>
    </row>
    <row r="89" spans="1:5">
      <c r="A89" t="s">
        <v>92</v>
      </c>
      <c r="C89">
        <v>9.0249026731147972E-2</v>
      </c>
      <c r="D89">
        <v>0.83772518999053969</v>
      </c>
      <c r="E89">
        <v>7.20257832783123E-2</v>
      </c>
    </row>
    <row r="90" spans="1:5">
      <c r="A90" t="s">
        <v>93</v>
      </c>
      <c r="C90">
        <v>8.9057567788508971E-2</v>
      </c>
      <c r="D90">
        <v>0.84012928092510186</v>
      </c>
      <c r="E90">
        <v>7.0813151286389042E-2</v>
      </c>
    </row>
    <row r="91" spans="1:5">
      <c r="A91" t="s">
        <v>94</v>
      </c>
      <c r="C91">
        <v>8.8439401390573991E-2</v>
      </c>
      <c r="D91">
        <v>0.84189943045120841</v>
      </c>
      <c r="E91">
        <v>6.9661168158217684E-2</v>
      </c>
    </row>
    <row r="92" spans="1:5">
      <c r="A92" t="s">
        <v>95</v>
      </c>
      <c r="C92">
        <v>8.9283777395801733E-2</v>
      </c>
      <c r="D92">
        <v>0.84085650711021531</v>
      </c>
      <c r="E92">
        <v>6.9859715493982996E-2</v>
      </c>
    </row>
    <row r="93" spans="1:5">
      <c r="A93" t="s">
        <v>96</v>
      </c>
      <c r="C93">
        <v>9.1446508062747775E-2</v>
      </c>
      <c r="D93">
        <v>0.83880486273675037</v>
      </c>
      <c r="E93">
        <v>6.9748629200501899E-2</v>
      </c>
    </row>
    <row r="94" spans="1:5">
      <c r="A94" t="s">
        <v>97</v>
      </c>
      <c r="C94">
        <v>9.4995698561889469E-2</v>
      </c>
      <c r="D94">
        <v>0.83088204139136534</v>
      </c>
      <c r="E94">
        <v>7.4122260046745325E-2</v>
      </c>
    </row>
    <row r="95" spans="1:5">
      <c r="A95" t="s">
        <v>98</v>
      </c>
      <c r="C95">
        <v>9.5455356092795929E-2</v>
      </c>
      <c r="D95">
        <v>0.82881934493672571</v>
      </c>
      <c r="E95">
        <v>7.5725298970478472E-2</v>
      </c>
    </row>
    <row r="96" spans="1:5">
      <c r="A96" t="s">
        <v>99</v>
      </c>
      <c r="C96">
        <v>9.395297446606253E-2</v>
      </c>
      <c r="D96">
        <v>0.83061837275300232</v>
      </c>
      <c r="E96">
        <v>7.5428652780935176E-2</v>
      </c>
    </row>
    <row r="97" spans="1:5">
      <c r="A97" t="s">
        <v>100</v>
      </c>
      <c r="C97">
        <v>9.3793413649254934E-2</v>
      </c>
      <c r="D97">
        <v>0.82919950634769624</v>
      </c>
      <c r="E97">
        <v>7.7007080003048886E-2</v>
      </c>
    </row>
    <row r="98" spans="1:5">
      <c r="A98" t="s">
        <v>101</v>
      </c>
      <c r="C98">
        <v>9.3505586581544842E-2</v>
      </c>
      <c r="D98">
        <v>0.83107391771048145</v>
      </c>
      <c r="E98">
        <v>7.5420495707973739E-2</v>
      </c>
    </row>
    <row r="99" spans="1:5">
      <c r="A99" t="s">
        <v>102</v>
      </c>
      <c r="C99">
        <v>9.316713693213706E-2</v>
      </c>
      <c r="D99">
        <v>0.83152591045544888</v>
      </c>
      <c r="E99">
        <v>7.5306952612414005E-2</v>
      </c>
    </row>
    <row r="100" spans="1:5">
      <c r="A100" t="s">
        <v>103</v>
      </c>
      <c r="C100">
        <v>9.1319784625735367E-2</v>
      </c>
      <c r="D100">
        <v>0.83429206399908973</v>
      </c>
      <c r="E100">
        <v>7.4388151375174891E-2</v>
      </c>
    </row>
    <row r="101" spans="1:5">
      <c r="A101" t="s">
        <v>104</v>
      </c>
      <c r="C101">
        <v>9.2181743163885388E-2</v>
      </c>
      <c r="D101">
        <v>0.83524339463803965</v>
      </c>
      <c r="E101">
        <v>7.2574862198074935E-2</v>
      </c>
    </row>
    <row r="102" spans="1:5">
      <c r="A102" t="s">
        <v>105</v>
      </c>
      <c r="C102">
        <v>8.9327542880957497E-2</v>
      </c>
      <c r="D102">
        <v>0.83774517073279631</v>
      </c>
      <c r="E102">
        <v>7.2927286386246112E-2</v>
      </c>
    </row>
    <row r="103" spans="1:5">
      <c r="A103" t="s">
        <v>106</v>
      </c>
      <c r="C103">
        <v>9.067903396936676E-2</v>
      </c>
      <c r="D103">
        <v>0.83615113956561959</v>
      </c>
      <c r="E103">
        <v>7.3169826465013688E-2</v>
      </c>
    </row>
    <row r="104" spans="1:5">
      <c r="A104" t="s">
        <v>107</v>
      </c>
      <c r="C104">
        <v>9.1748246896436722E-2</v>
      </c>
      <c r="D104">
        <v>0.83573512496604918</v>
      </c>
      <c r="E104">
        <v>7.2516628137514069E-2</v>
      </c>
    </row>
    <row r="105" spans="1:5">
      <c r="A105" t="s">
        <v>108</v>
      </c>
      <c r="C105">
        <v>9.2541274987737315E-2</v>
      </c>
      <c r="D105">
        <v>0.83538269262131737</v>
      </c>
      <c r="E105">
        <v>7.2076032390945385E-2</v>
      </c>
    </row>
    <row r="106" spans="1:5">
      <c r="A106" t="s">
        <v>109</v>
      </c>
      <c r="C106">
        <v>9.3554714551155368E-2</v>
      </c>
      <c r="D106">
        <v>0.83063510409739416</v>
      </c>
      <c r="E106">
        <v>7.5810181351450567E-2</v>
      </c>
    </row>
    <row r="107" spans="1:5">
      <c r="A107" t="s">
        <v>110</v>
      </c>
      <c r="C107">
        <v>9.5885488230414678E-2</v>
      </c>
      <c r="D107">
        <v>0.82822614362695512</v>
      </c>
      <c r="E107">
        <v>7.5888368142630044E-2</v>
      </c>
    </row>
    <row r="108" spans="1:5">
      <c r="A108" t="s">
        <v>111</v>
      </c>
      <c r="C108">
        <v>9.6926311959289441E-2</v>
      </c>
      <c r="D108">
        <v>0.8279452963573396</v>
      </c>
      <c r="E108">
        <v>7.5128391683371001E-2</v>
      </c>
    </row>
    <row r="109" spans="1:5">
      <c r="A109" t="s">
        <v>112</v>
      </c>
      <c r="C109">
        <v>9.4275090374205811E-2</v>
      </c>
      <c r="D109">
        <v>0.8307655127795941</v>
      </c>
      <c r="E109">
        <v>7.4959396846199969E-2</v>
      </c>
    </row>
    <row r="110" spans="1:5">
      <c r="A110" t="s">
        <v>113</v>
      </c>
      <c r="C110">
        <v>9.2714603599311926E-2</v>
      </c>
      <c r="D110">
        <v>0.83109646639387813</v>
      </c>
      <c r="E110">
        <v>7.6188930006809916E-2</v>
      </c>
    </row>
    <row r="111" spans="1:5">
      <c r="A111" t="s">
        <v>114</v>
      </c>
      <c r="C111">
        <v>9.8608158175130051E-2</v>
      </c>
      <c r="D111">
        <v>0.82499803403566763</v>
      </c>
      <c r="E111">
        <v>7.6393807789202184E-2</v>
      </c>
    </row>
    <row r="112" spans="1:5">
      <c r="A112" t="s">
        <v>115</v>
      </c>
      <c r="C112">
        <v>9.7306976800155043E-2</v>
      </c>
      <c r="D112">
        <v>0.82586711550479885</v>
      </c>
      <c r="E112">
        <v>7.6825907695046089E-2</v>
      </c>
    </row>
    <row r="113" spans="1:5">
      <c r="A113" t="s">
        <v>116</v>
      </c>
      <c r="C113">
        <v>9.7721239139050675E-2</v>
      </c>
      <c r="D113">
        <v>0.82714170558493461</v>
      </c>
      <c r="E113">
        <v>7.5137055276014775E-2</v>
      </c>
    </row>
    <row r="114" spans="1:5">
      <c r="A114" t="s">
        <v>117</v>
      </c>
      <c r="C114">
        <v>9.9551618043889956E-2</v>
      </c>
      <c r="D114">
        <v>0.82704282230985093</v>
      </c>
      <c r="E114">
        <v>7.340555964625918E-2</v>
      </c>
    </row>
    <row r="115" spans="1:5">
      <c r="A115" t="s">
        <v>118</v>
      </c>
      <c r="C115">
        <v>9.7739231488313136E-2</v>
      </c>
      <c r="D115">
        <v>0.82880274104771423</v>
      </c>
      <c r="E115">
        <v>7.3458027463972647E-2</v>
      </c>
    </row>
    <row r="116" spans="1:5">
      <c r="A116" t="s">
        <v>119</v>
      </c>
      <c r="C116">
        <v>9.883946442274133E-2</v>
      </c>
      <c r="D116">
        <v>0.82827204284510147</v>
      </c>
      <c r="E116">
        <v>7.2888492732157237E-2</v>
      </c>
    </row>
    <row r="117" spans="1:5">
      <c r="A117" t="s">
        <v>120</v>
      </c>
      <c r="C117">
        <v>9.8930154975154228E-2</v>
      </c>
      <c r="D117">
        <v>0.8283661866661044</v>
      </c>
      <c r="E117">
        <v>7.2703658358741333E-2</v>
      </c>
    </row>
    <row r="118" spans="1:5">
      <c r="A118" t="s">
        <v>121</v>
      </c>
      <c r="C118">
        <v>9.9514536213593574E-2</v>
      </c>
      <c r="D118">
        <v>0.8272531889664928</v>
      </c>
      <c r="E118">
        <v>7.3232274819913554E-2</v>
      </c>
    </row>
    <row r="119" spans="1:5">
      <c r="A119" t="s">
        <v>122</v>
      </c>
      <c r="C119">
        <v>9.3114138653468972E-2</v>
      </c>
      <c r="D119">
        <v>0.83280998540603157</v>
      </c>
      <c r="E119">
        <v>7.4075875940499483E-2</v>
      </c>
    </row>
    <row r="120" spans="1:5">
      <c r="A120" t="s">
        <v>123</v>
      </c>
      <c r="C120">
        <v>9.1017015898255199E-2</v>
      </c>
      <c r="D120">
        <v>0.83629908044943957</v>
      </c>
      <c r="E120">
        <v>7.2683903652305343E-2</v>
      </c>
    </row>
    <row r="121" spans="1:5">
      <c r="A121" t="s">
        <v>124</v>
      </c>
      <c r="C121">
        <v>9.3896956707643101E-2</v>
      </c>
      <c r="D121">
        <v>0.83819034635199741</v>
      </c>
      <c r="E121">
        <v>6.7912696940359507E-2</v>
      </c>
    </row>
    <row r="122" spans="1:5">
      <c r="A122" t="s">
        <v>125</v>
      </c>
      <c r="C122">
        <v>9.401304178428195E-2</v>
      </c>
      <c r="D122">
        <v>0.83922660347902212</v>
      </c>
      <c r="E122">
        <v>6.6760354736695948E-2</v>
      </c>
    </row>
    <row r="123" spans="1:5">
      <c r="A123" t="s">
        <v>126</v>
      </c>
      <c r="C123">
        <v>9.602934625979874E-2</v>
      </c>
      <c r="D123">
        <v>0.83604275670335837</v>
      </c>
      <c r="E123">
        <v>6.7927897036843057E-2</v>
      </c>
    </row>
    <row r="124" spans="1:5">
      <c r="A124" t="s">
        <v>127</v>
      </c>
      <c r="C124">
        <v>9.5079742004438222E-2</v>
      </c>
      <c r="D124">
        <v>0.83546288341109343</v>
      </c>
      <c r="E124">
        <v>6.9457374584468351E-2</v>
      </c>
    </row>
    <row r="125" spans="1:5">
      <c r="A125" t="s">
        <v>128</v>
      </c>
      <c r="C125">
        <v>9.4049864889732729E-2</v>
      </c>
      <c r="D125">
        <v>0.83781727680497387</v>
      </c>
      <c r="E125">
        <v>6.8132858305293434E-2</v>
      </c>
    </row>
    <row r="126" spans="1:5">
      <c r="A126" t="s">
        <v>129</v>
      </c>
      <c r="C126">
        <v>9.2289798682001059E-2</v>
      </c>
      <c r="D126">
        <v>0.8421380313358281</v>
      </c>
      <c r="E126">
        <v>6.5572169982170789E-2</v>
      </c>
    </row>
    <row r="127" spans="1:5">
      <c r="A127" t="s">
        <v>130</v>
      </c>
      <c r="C127">
        <v>9.1879297245025235E-2</v>
      </c>
      <c r="D127">
        <v>0.84284870860413263</v>
      </c>
      <c r="E127">
        <v>6.5271994150842061E-2</v>
      </c>
    </row>
    <row r="128" spans="1:5">
      <c r="A128" t="s">
        <v>131</v>
      </c>
      <c r="C128">
        <v>9.2094493786678555E-2</v>
      </c>
      <c r="D128">
        <v>0.84287170805142064</v>
      </c>
      <c r="E128">
        <v>6.5033798161900844E-2</v>
      </c>
    </row>
    <row r="129" spans="1:5">
      <c r="A129" t="s">
        <v>132</v>
      </c>
      <c r="C129">
        <v>8.9691885198408219E-2</v>
      </c>
      <c r="D129">
        <v>0.8464053141186012</v>
      </c>
      <c r="E129">
        <v>6.3902800682990604E-2</v>
      </c>
    </row>
    <row r="130" spans="1:5">
      <c r="A130" t="s">
        <v>133</v>
      </c>
      <c r="C130">
        <v>9.1225607511535703E-2</v>
      </c>
      <c r="D130">
        <v>0.84444331273861173</v>
      </c>
      <c r="E130">
        <v>6.4331079749852471E-2</v>
      </c>
    </row>
    <row r="131" spans="1:5">
      <c r="A131" t="s">
        <v>134</v>
      </c>
      <c r="C131">
        <v>9.0137847989676181E-2</v>
      </c>
      <c r="D131">
        <v>0.84604887513128457</v>
      </c>
      <c r="E131">
        <v>6.3813276879039219E-2</v>
      </c>
    </row>
    <row r="132" spans="1:5">
      <c r="A132" t="s">
        <v>135</v>
      </c>
      <c r="C132">
        <v>9.2969846278744592E-2</v>
      </c>
      <c r="D132">
        <v>0.84224036707760752</v>
      </c>
      <c r="E132">
        <v>6.4789786643647956E-2</v>
      </c>
    </row>
    <row r="133" spans="1:5">
      <c r="A133" t="s">
        <v>136</v>
      </c>
      <c r="C133">
        <v>9.0812681942393517E-2</v>
      </c>
      <c r="D133">
        <v>0.84398306626373476</v>
      </c>
      <c r="E133">
        <v>6.5204251793871695E-2</v>
      </c>
    </row>
    <row r="134" spans="1:5">
      <c r="A134" t="s">
        <v>137</v>
      </c>
      <c r="C134">
        <v>9.1151741920304064E-2</v>
      </c>
      <c r="D134">
        <v>0.84377176126966391</v>
      </c>
      <c r="E134">
        <v>6.5076496810031928E-2</v>
      </c>
    </row>
    <row r="135" spans="1:5">
      <c r="A135" t="s">
        <v>138</v>
      </c>
      <c r="C135">
        <v>9.1737604375005111E-2</v>
      </c>
      <c r="D135">
        <v>0.84114430753551628</v>
      </c>
      <c r="E135">
        <v>6.7118088089478542E-2</v>
      </c>
    </row>
    <row r="136" spans="1:5">
      <c r="A136" t="s">
        <v>139</v>
      </c>
      <c r="C136">
        <v>9.0547978209784705E-2</v>
      </c>
      <c r="D136">
        <v>0.84381223026519681</v>
      </c>
      <c r="E136">
        <v>6.5639791525018448E-2</v>
      </c>
    </row>
    <row r="137" spans="1:5">
      <c r="A137" t="s">
        <v>140</v>
      </c>
      <c r="C137">
        <v>9.2081977084555192E-2</v>
      </c>
      <c r="D137">
        <v>0.8413927983713817</v>
      </c>
      <c r="E137">
        <v>6.6525224544063052E-2</v>
      </c>
    </row>
    <row r="138" spans="1:5">
      <c r="A138" t="s">
        <v>141</v>
      </c>
      <c r="C138">
        <v>9.3610046699422828E-2</v>
      </c>
      <c r="D138">
        <v>0.8413109097592123</v>
      </c>
      <c r="E138">
        <v>6.5079043541364914E-2</v>
      </c>
    </row>
    <row r="139" spans="1:5">
      <c r="A139" t="s">
        <v>142</v>
      </c>
      <c r="C139">
        <v>9.3547273827861224E-2</v>
      </c>
      <c r="D139">
        <v>0.84494747807003034</v>
      </c>
      <c r="E139">
        <v>6.1505248102108383E-2</v>
      </c>
    </row>
    <row r="140" spans="1:5">
      <c r="A140" t="s">
        <v>143</v>
      </c>
      <c r="C140">
        <v>9.1875229829911878E-2</v>
      </c>
      <c r="D140">
        <v>0.84753906605741891</v>
      </c>
      <c r="E140">
        <v>6.0585704112669128E-2</v>
      </c>
    </row>
    <row r="141" spans="1:5">
      <c r="A141" t="s">
        <v>144</v>
      </c>
      <c r="C141">
        <v>9.1673303825991523E-2</v>
      </c>
      <c r="D141">
        <v>0.84731244083380153</v>
      </c>
      <c r="E141">
        <v>6.1014255340206922E-2</v>
      </c>
    </row>
    <row r="142" spans="1:5">
      <c r="A142" t="s">
        <v>145</v>
      </c>
      <c r="C142">
        <v>8.5223789641212799E-2</v>
      </c>
      <c r="D142">
        <v>0.85306294104551605</v>
      </c>
      <c r="E142">
        <v>6.1713269313271132E-2</v>
      </c>
    </row>
    <row r="143" spans="1:5">
      <c r="A143" t="s">
        <v>146</v>
      </c>
      <c r="C143">
        <v>8.3045718870839058E-2</v>
      </c>
      <c r="D143">
        <v>0.8537546177510581</v>
      </c>
      <c r="E143">
        <v>6.3199663378102885E-2</v>
      </c>
    </row>
    <row r="144" spans="1:5">
      <c r="A144" t="s">
        <v>147</v>
      </c>
      <c r="C144">
        <v>8.1896969064574859E-2</v>
      </c>
      <c r="D144">
        <v>0.85508729699686548</v>
      </c>
      <c r="E144">
        <v>6.3015733938559762E-2</v>
      </c>
    </row>
    <row r="145" spans="1:5">
      <c r="A145" t="s">
        <v>148</v>
      </c>
      <c r="C145">
        <v>8.1207216562719439E-2</v>
      </c>
      <c r="D145">
        <v>0.85761816046037131</v>
      </c>
      <c r="E145">
        <v>6.1174622976909232E-2</v>
      </c>
    </row>
    <row r="146" spans="1:5">
      <c r="A146" t="s">
        <v>149</v>
      </c>
      <c r="C146">
        <v>8.3829014115842718E-2</v>
      </c>
      <c r="D146">
        <v>0.85302530992596037</v>
      </c>
      <c r="E146">
        <v>6.3145675958196909E-2</v>
      </c>
    </row>
    <row r="147" spans="1:5">
      <c r="A147" t="s">
        <v>150</v>
      </c>
      <c r="C147">
        <v>8.5997001270925175E-2</v>
      </c>
      <c r="D147">
        <v>0.85181783513715881</v>
      </c>
      <c r="E147">
        <v>6.2185163591915928E-2</v>
      </c>
    </row>
    <row r="148" spans="1:5">
      <c r="A148" t="s">
        <v>151</v>
      </c>
      <c r="C148">
        <v>8.7278425551440261E-2</v>
      </c>
      <c r="D148">
        <v>0.84981364386771563</v>
      </c>
      <c r="E148">
        <v>6.2907930580844082E-2</v>
      </c>
    </row>
    <row r="149" spans="1:5">
      <c r="A149" t="s">
        <v>152</v>
      </c>
      <c r="C149">
        <v>8.5864562665145472E-2</v>
      </c>
      <c r="D149">
        <v>0.85231366793340924</v>
      </c>
      <c r="E149">
        <v>6.1821769401445348E-2</v>
      </c>
    </row>
    <row r="150" spans="1:5">
      <c r="A150" t="s">
        <v>153</v>
      </c>
      <c r="C150">
        <v>8.4832905073342929E-2</v>
      </c>
      <c r="D150">
        <v>0.85118246135358566</v>
      </c>
      <c r="E150">
        <v>6.3984633573071409E-2</v>
      </c>
    </row>
    <row r="151" spans="1:5">
      <c r="A151" t="s">
        <v>154</v>
      </c>
      <c r="C151">
        <v>8.5685034489197176E-2</v>
      </c>
      <c r="D151">
        <v>0.84943193081909507</v>
      </c>
      <c r="E151">
        <v>6.4883034691707614E-2</v>
      </c>
    </row>
    <row r="152" spans="1:5">
      <c r="A152" t="s">
        <v>155</v>
      </c>
      <c r="C152">
        <v>8.5497618973069026E-2</v>
      </c>
      <c r="D152">
        <v>0.8498463180223792</v>
      </c>
      <c r="E152">
        <v>6.4656063004551845E-2</v>
      </c>
    </row>
    <row r="153" spans="1:5">
      <c r="A153" t="s">
        <v>156</v>
      </c>
      <c r="C153">
        <v>8.5492638846485017E-2</v>
      </c>
      <c r="D153">
        <v>0.85037510128537974</v>
      </c>
      <c r="E153">
        <v>6.41322598681352E-2</v>
      </c>
    </row>
    <row r="154" spans="1:5">
      <c r="A154" t="s">
        <v>157</v>
      </c>
      <c r="C154">
        <v>8.4265370914592422E-2</v>
      </c>
      <c r="D154">
        <v>0.85058471392086044</v>
      </c>
      <c r="E154">
        <v>6.514991516454717E-2</v>
      </c>
    </row>
    <row r="155" spans="1:5">
      <c r="A155" t="s">
        <v>158</v>
      </c>
      <c r="C155">
        <v>8.4654073760784196E-2</v>
      </c>
      <c r="D155">
        <v>0.85034261124134791</v>
      </c>
      <c r="E155">
        <v>6.5003314997867906E-2</v>
      </c>
    </row>
    <row r="156" spans="1:5">
      <c r="A156" t="s">
        <v>159</v>
      </c>
      <c r="C156">
        <v>8.548303355049458E-2</v>
      </c>
      <c r="D156">
        <v>0.85012838239015953</v>
      </c>
      <c r="E156">
        <v>6.438858405934586E-2</v>
      </c>
    </row>
    <row r="157" spans="1:5">
      <c r="A157" t="s">
        <v>160</v>
      </c>
      <c r="C157">
        <v>8.5473270821904784E-2</v>
      </c>
      <c r="D157">
        <v>0.84987761972606146</v>
      </c>
      <c r="E157">
        <v>6.4649109452033809E-2</v>
      </c>
    </row>
    <row r="158" spans="1:5">
      <c r="A158" t="s">
        <v>161</v>
      </c>
      <c r="C158">
        <v>8.597680979770117E-2</v>
      </c>
      <c r="D158">
        <v>0.85126900172677011</v>
      </c>
      <c r="E158">
        <v>6.2754188475528869E-2</v>
      </c>
    </row>
    <row r="159" spans="1:5">
      <c r="A159" t="s">
        <v>162</v>
      </c>
      <c r="C159">
        <v>8.693850329229677E-2</v>
      </c>
      <c r="D159">
        <v>0.8466030998240861</v>
      </c>
      <c r="E159">
        <v>6.6458396883617196E-2</v>
      </c>
    </row>
    <row r="160" spans="1:5">
      <c r="A160" t="s">
        <v>163</v>
      </c>
      <c r="C160">
        <v>8.6906685957041527E-2</v>
      </c>
      <c r="D160">
        <v>0.84719071188183714</v>
      </c>
      <c r="E160">
        <v>6.5902602161121246E-2</v>
      </c>
    </row>
    <row r="161" spans="1:5">
      <c r="A161" t="s">
        <v>164</v>
      </c>
      <c r="C161">
        <v>8.6020686332846832E-2</v>
      </c>
      <c r="D161">
        <v>0.84900944908904763</v>
      </c>
      <c r="E161">
        <v>6.4969864578105635E-2</v>
      </c>
    </row>
    <row r="162" spans="1:5">
      <c r="A162" t="s">
        <v>165</v>
      </c>
      <c r="C162">
        <v>8.7528839297089003E-2</v>
      </c>
      <c r="D162">
        <v>0.84734382215915938</v>
      </c>
      <c r="E162">
        <v>6.5127338543751592E-2</v>
      </c>
    </row>
    <row r="163" spans="1:5">
      <c r="A163" t="s">
        <v>166</v>
      </c>
      <c r="C163">
        <v>8.9690323918770104E-2</v>
      </c>
      <c r="D163">
        <v>0.84632130417147933</v>
      </c>
      <c r="E163">
        <v>6.3988371909750472E-2</v>
      </c>
    </row>
    <row r="164" spans="1:5">
      <c r="A164" t="s">
        <v>167</v>
      </c>
      <c r="C164">
        <v>8.668609384903106E-2</v>
      </c>
      <c r="D164">
        <v>0.85127581550230058</v>
      </c>
      <c r="E164">
        <v>6.2038090648668262E-2</v>
      </c>
    </row>
    <row r="165" spans="1:5">
      <c r="A165" t="s">
        <v>168</v>
      </c>
      <c r="C165">
        <v>8.5900145104738757E-2</v>
      </c>
      <c r="D165">
        <v>0.85122474840335338</v>
      </c>
      <c r="E165">
        <v>6.2875106491907778E-2</v>
      </c>
    </row>
    <row r="166" spans="1:5">
      <c r="A166" t="s">
        <v>169</v>
      </c>
      <c r="C166">
        <v>8.5593502091672102E-2</v>
      </c>
      <c r="D166">
        <v>0.85236265545071166</v>
      </c>
      <c r="E166">
        <v>6.2043842457616259E-2</v>
      </c>
    </row>
    <row r="167" spans="1:5">
      <c r="A167" t="s">
        <v>170</v>
      </c>
      <c r="C167">
        <v>8.3711216783132272E-2</v>
      </c>
      <c r="D167">
        <v>0.85313498825870837</v>
      </c>
      <c r="E167">
        <v>6.3153794958159398E-2</v>
      </c>
    </row>
    <row r="168" spans="1:5">
      <c r="A168" t="s">
        <v>171</v>
      </c>
      <c r="C168">
        <v>8.4270794609102792E-2</v>
      </c>
      <c r="D168">
        <v>0.85346270972588167</v>
      </c>
      <c r="E168">
        <v>6.2266495665015409E-2</v>
      </c>
    </row>
    <row r="169" spans="1:5">
      <c r="A169" t="s">
        <v>172</v>
      </c>
      <c r="C169">
        <v>8.4882178814300074E-2</v>
      </c>
      <c r="D169">
        <v>0.85279828608511787</v>
      </c>
      <c r="E169">
        <v>6.2319535100582073E-2</v>
      </c>
    </row>
    <row r="170" spans="1:5">
      <c r="A170" t="s">
        <v>173</v>
      </c>
      <c r="C170">
        <v>8.3828325576648891E-2</v>
      </c>
      <c r="D170">
        <v>0.85571354508976638</v>
      </c>
      <c r="E170">
        <v>6.0458129333584708E-2</v>
      </c>
    </row>
    <row r="171" spans="1:5">
      <c r="A171" t="s">
        <v>174</v>
      </c>
      <c r="C171">
        <v>8.5981943669963007E-2</v>
      </c>
      <c r="D171">
        <v>0.8534517364135541</v>
      </c>
      <c r="E171">
        <v>6.056631991648289E-2</v>
      </c>
    </row>
    <row r="172" spans="1:5">
      <c r="A172" t="s">
        <v>175</v>
      </c>
      <c r="C172">
        <v>8.3497708178740332E-2</v>
      </c>
      <c r="D172">
        <v>0.85667330556329624</v>
      </c>
      <c r="E172">
        <v>5.9828986257963533E-2</v>
      </c>
    </row>
    <row r="173" spans="1:5">
      <c r="A173" t="s">
        <v>176</v>
      </c>
      <c r="C173">
        <v>8.3092932051825011E-2</v>
      </c>
      <c r="D173">
        <v>0.85741467249187908</v>
      </c>
      <c r="E173">
        <v>5.9492395456296018E-2</v>
      </c>
    </row>
    <row r="174" spans="1:5">
      <c r="A174" t="s">
        <v>177</v>
      </c>
      <c r="C174">
        <v>8.2331143992905767E-2</v>
      </c>
      <c r="D174">
        <v>0.85862598526526601</v>
      </c>
      <c r="E174">
        <v>5.9042870741828041E-2</v>
      </c>
    </row>
    <row r="175" spans="1:5">
      <c r="A175" t="s">
        <v>178</v>
      </c>
      <c r="C175">
        <v>8.3229300122101502E-2</v>
      </c>
      <c r="D175">
        <v>0.85703509255599286</v>
      </c>
      <c r="E175">
        <v>5.9735607321905693E-2</v>
      </c>
    </row>
    <row r="176" spans="1:5">
      <c r="A176" t="s">
        <v>179</v>
      </c>
      <c r="C176">
        <v>8.3549708632141867E-2</v>
      </c>
      <c r="D176">
        <v>0.8548921052350994</v>
      </c>
      <c r="E176">
        <v>6.1558186132758728E-2</v>
      </c>
    </row>
    <row r="177" spans="1:5">
      <c r="A177" t="s">
        <v>180</v>
      </c>
      <c r="C177">
        <v>8.4402493778223786E-2</v>
      </c>
      <c r="D177">
        <v>0.85370984481906942</v>
      </c>
      <c r="E177">
        <v>6.188766140270683E-2</v>
      </c>
    </row>
    <row r="178" spans="1:5">
      <c r="A178" t="s">
        <v>181</v>
      </c>
      <c r="C178">
        <v>8.3909143505643519E-2</v>
      </c>
      <c r="D178">
        <v>0.85264140764428287</v>
      </c>
      <c r="E178">
        <v>6.3449448850073531E-2</v>
      </c>
    </row>
    <row r="179" spans="1:5">
      <c r="A179" t="s">
        <v>182</v>
      </c>
      <c r="C179">
        <v>8.5638332456365762E-2</v>
      </c>
      <c r="D179">
        <v>0.8506191166697481</v>
      </c>
      <c r="E179">
        <v>6.3742550873886111E-2</v>
      </c>
    </row>
    <row r="180" spans="1:5">
      <c r="A180" t="s">
        <v>183</v>
      </c>
      <c r="C180">
        <v>8.7795616699755996E-2</v>
      </c>
      <c r="D180">
        <v>0.85012698779406481</v>
      </c>
      <c r="E180">
        <v>6.2077395506179203E-2</v>
      </c>
    </row>
    <row r="181" spans="1:5">
      <c r="A181" t="s">
        <v>184</v>
      </c>
      <c r="C181">
        <v>8.6272594002600692E-2</v>
      </c>
      <c r="D181">
        <v>0.85074189176794757</v>
      </c>
      <c r="E181">
        <v>6.2985514229451853E-2</v>
      </c>
    </row>
    <row r="182" spans="1:5">
      <c r="A182" t="s">
        <v>185</v>
      </c>
      <c r="C182">
        <v>8.8734779052253562E-2</v>
      </c>
      <c r="D182">
        <v>0.84778750187331442</v>
      </c>
      <c r="E182">
        <v>6.3477719074432115E-2</v>
      </c>
    </row>
    <row r="183" spans="1:5">
      <c r="A183" t="s">
        <v>186</v>
      </c>
      <c r="C183">
        <v>8.7966727185807683E-2</v>
      </c>
      <c r="D183">
        <v>0.8492150845823202</v>
      </c>
      <c r="E183">
        <v>6.2818188231872088E-2</v>
      </c>
    </row>
    <row r="184" spans="1:5">
      <c r="A184" t="s">
        <v>187</v>
      </c>
      <c r="C184">
        <v>8.6286186999236111E-2</v>
      </c>
      <c r="D184">
        <v>0.85223864901966784</v>
      </c>
      <c r="E184">
        <v>6.1475163981096072E-2</v>
      </c>
    </row>
    <row r="185" spans="1:5">
      <c r="A185" t="s">
        <v>188</v>
      </c>
      <c r="C185">
        <v>8.748944500800028E-2</v>
      </c>
      <c r="D185">
        <v>0.8507521607089219</v>
      </c>
      <c r="E185">
        <v>6.1758394283077778E-2</v>
      </c>
    </row>
    <row r="186" spans="1:5">
      <c r="A186" t="s">
        <v>189</v>
      </c>
      <c r="C186">
        <v>8.5866600763981615E-2</v>
      </c>
      <c r="D186">
        <v>0.85115934026322559</v>
      </c>
      <c r="E186">
        <v>6.2974058972792762E-2</v>
      </c>
    </row>
    <row r="187" spans="1:5">
      <c r="A187" t="s">
        <v>190</v>
      </c>
      <c r="C187">
        <v>8.551540736462046E-2</v>
      </c>
      <c r="D187">
        <v>0.8519377974391531</v>
      </c>
      <c r="E187">
        <v>6.2546795196226398E-2</v>
      </c>
    </row>
    <row r="188" spans="1:5">
      <c r="A188" t="s">
        <v>191</v>
      </c>
      <c r="C188">
        <v>8.6842594505245507E-2</v>
      </c>
      <c r="D188">
        <v>0.85162132140690239</v>
      </c>
      <c r="E188">
        <v>6.1536084087852078E-2</v>
      </c>
    </row>
    <row r="189" spans="1:5">
      <c r="A189" t="s">
        <v>192</v>
      </c>
      <c r="C189">
        <v>8.7930995308359738E-2</v>
      </c>
      <c r="D189">
        <v>0.85036371834914271</v>
      </c>
      <c r="E189">
        <v>6.1705286342497667E-2</v>
      </c>
    </row>
    <row r="190" spans="1:5">
      <c r="A190" t="s">
        <v>193</v>
      </c>
      <c r="C190">
        <v>9.0029710554707751E-2</v>
      </c>
      <c r="D190">
        <v>0.84785277944479942</v>
      </c>
      <c r="E190">
        <v>6.2117510000492822E-2</v>
      </c>
    </row>
    <row r="191" spans="1:5">
      <c r="A191" t="s">
        <v>194</v>
      </c>
      <c r="C191">
        <v>8.5987400233561648E-2</v>
      </c>
      <c r="D191">
        <v>0.85299553831515695</v>
      </c>
      <c r="E191">
        <v>6.1017061451281399E-2</v>
      </c>
    </row>
    <row r="192" spans="1:5">
      <c r="A192" t="s">
        <v>195</v>
      </c>
      <c r="C192">
        <v>8.6831937095944806E-2</v>
      </c>
      <c r="D192">
        <v>0.8511189045427584</v>
      </c>
      <c r="E192">
        <v>6.2049158361296632E-2</v>
      </c>
    </row>
    <row r="193" spans="1:5">
      <c r="A193" t="s">
        <v>196</v>
      </c>
      <c r="C193">
        <v>8.9689385123169027E-2</v>
      </c>
      <c r="D193">
        <v>0.8487944677367788</v>
      </c>
      <c r="E193">
        <v>6.151614714005222E-2</v>
      </c>
    </row>
    <row r="194" spans="1:5">
      <c r="A194" t="s">
        <v>197</v>
      </c>
      <c r="C194">
        <v>9.0999036918906873E-2</v>
      </c>
      <c r="D194">
        <v>0.84720637289365397</v>
      </c>
      <c r="E194">
        <v>6.179459018743913E-2</v>
      </c>
    </row>
    <row r="195" spans="1:5">
      <c r="A195" t="s">
        <v>198</v>
      </c>
      <c r="C195">
        <v>8.9400197003425455E-2</v>
      </c>
      <c r="D195">
        <v>0.85003003860962623</v>
      </c>
      <c r="E195">
        <v>6.0569764386948263E-2</v>
      </c>
    </row>
    <row r="196" spans="1:5">
      <c r="A196" t="s">
        <v>199</v>
      </c>
      <c r="C196">
        <v>9.0572506442903697E-2</v>
      </c>
      <c r="D196">
        <v>0.84721287436805348</v>
      </c>
      <c r="E196">
        <v>6.221461918904287E-2</v>
      </c>
    </row>
    <row r="197" spans="1:5">
      <c r="A197" t="s">
        <v>200</v>
      </c>
      <c r="C197">
        <v>9.1193309430008529E-2</v>
      </c>
      <c r="D197">
        <v>0.84491713873997165</v>
      </c>
      <c r="E197">
        <v>6.3889551830019722E-2</v>
      </c>
    </row>
    <row r="198" spans="1:5">
      <c r="A198" t="s">
        <v>201</v>
      </c>
      <c r="C198">
        <v>8.9944712866527401E-2</v>
      </c>
      <c r="D198">
        <v>0.84708161424016204</v>
      </c>
      <c r="E198">
        <v>6.2973672893310503E-2</v>
      </c>
    </row>
    <row r="199" spans="1:5">
      <c r="A199" t="s">
        <v>202</v>
      </c>
      <c r="C199">
        <v>9.1514511615942318E-2</v>
      </c>
      <c r="D199">
        <v>0.84550683588388287</v>
      </c>
      <c r="E199">
        <v>6.2978652500174898E-2</v>
      </c>
    </row>
    <row r="200" spans="1:5">
      <c r="A200" t="s">
        <v>203</v>
      </c>
      <c r="C200">
        <v>9.0508639429846688E-2</v>
      </c>
      <c r="D200">
        <v>0.84615684239085787</v>
      </c>
      <c r="E200">
        <v>6.3334518179295404E-2</v>
      </c>
    </row>
    <row r="201" spans="1:5">
      <c r="A201" t="s">
        <v>204</v>
      </c>
      <c r="C201">
        <v>9.1721710006082549E-2</v>
      </c>
      <c r="D201">
        <v>0.84565264710857335</v>
      </c>
      <c r="E201">
        <v>6.2625642885344127E-2</v>
      </c>
    </row>
    <row r="202" spans="1:5">
      <c r="A202" t="s">
        <v>205</v>
      </c>
      <c r="C202">
        <v>9.1003738052835431E-2</v>
      </c>
      <c r="D202">
        <v>0.84710074024307025</v>
      </c>
      <c r="E202">
        <v>6.1895521704094313E-2</v>
      </c>
    </row>
    <row r="203" spans="1:5">
      <c r="A203" t="s">
        <v>206</v>
      </c>
      <c r="C203">
        <v>9.0019223230991943E-2</v>
      </c>
      <c r="D203">
        <v>0.84789788287427992</v>
      </c>
      <c r="E203">
        <v>6.2082893894728153E-2</v>
      </c>
    </row>
    <row r="204" spans="1:5">
      <c r="A204" t="s">
        <v>207</v>
      </c>
      <c r="C204">
        <v>9.0996719027050463E-2</v>
      </c>
      <c r="D204">
        <v>0.84725845502198205</v>
      </c>
      <c r="E204">
        <v>6.1744825950967433E-2</v>
      </c>
    </row>
    <row r="205" spans="1:5">
      <c r="A205" t="s">
        <v>208</v>
      </c>
      <c r="C205">
        <v>8.970051973183471E-2</v>
      </c>
      <c r="D205">
        <v>0.85087402814128643</v>
      </c>
      <c r="E205">
        <v>5.9425452126878761E-2</v>
      </c>
    </row>
    <row r="206" spans="1:5">
      <c r="A206" t="s">
        <v>209</v>
      </c>
      <c r="C206">
        <v>9.0739762032101018E-2</v>
      </c>
      <c r="D206">
        <v>0.84899473537119663</v>
      </c>
      <c r="E206">
        <v>6.0265502596702422E-2</v>
      </c>
    </row>
    <row r="207" spans="1:5">
      <c r="A207" t="s">
        <v>210</v>
      </c>
      <c r="C207">
        <v>9.1113030466687672E-2</v>
      </c>
      <c r="D207">
        <v>0.84811807960360786</v>
      </c>
      <c r="E207">
        <v>6.0768889929704452E-2</v>
      </c>
    </row>
    <row r="208" spans="1:5">
      <c r="A208" t="s">
        <v>211</v>
      </c>
      <c r="C208">
        <v>9.2471024286375325E-2</v>
      </c>
      <c r="D208">
        <v>0.8464845297031367</v>
      </c>
      <c r="E208">
        <v>6.1044446010487988E-2</v>
      </c>
    </row>
    <row r="209" spans="1:5">
      <c r="A209" t="s">
        <v>212</v>
      </c>
      <c r="C209">
        <v>9.1384812280063538E-2</v>
      </c>
      <c r="D209">
        <v>0.84840712281221153</v>
      </c>
      <c r="E209">
        <v>6.0208064907724873E-2</v>
      </c>
    </row>
    <row r="210" spans="1:5">
      <c r="A210" t="s">
        <v>213</v>
      </c>
      <c r="C210">
        <v>8.9461751503156661E-2</v>
      </c>
      <c r="D210">
        <v>0.84860913954159045</v>
      </c>
      <c r="E210">
        <v>6.1929108955253012E-2</v>
      </c>
    </row>
    <row r="211" spans="1:5">
      <c r="A211" t="s">
        <v>214</v>
      </c>
      <c r="C211">
        <v>8.8544654020362587E-2</v>
      </c>
      <c r="D211">
        <v>0.85027906636978268</v>
      </c>
      <c r="E211">
        <v>6.1176279609854743E-2</v>
      </c>
    </row>
    <row r="212" spans="1:5">
      <c r="A212" t="s">
        <v>215</v>
      </c>
      <c r="C212">
        <v>8.7658230843997403E-2</v>
      </c>
      <c r="D212">
        <v>0.84988845716139272</v>
      </c>
      <c r="E212">
        <v>6.245331199460992E-2</v>
      </c>
    </row>
    <row r="213" spans="1:5">
      <c r="A213" t="s">
        <v>216</v>
      </c>
      <c r="C213">
        <v>8.97826198748536E-2</v>
      </c>
      <c r="D213">
        <v>0.84751857019505805</v>
      </c>
      <c r="E213">
        <v>6.269880993008832E-2</v>
      </c>
    </row>
    <row r="214" spans="1:5">
      <c r="A214" t="s">
        <v>217</v>
      </c>
      <c r="C214">
        <v>8.9548466862208798E-2</v>
      </c>
      <c r="D214">
        <v>0.84733433495566279</v>
      </c>
      <c r="E214">
        <v>6.3117198182128478E-2</v>
      </c>
    </row>
    <row r="215" spans="1:5">
      <c r="A215" t="s">
        <v>218</v>
      </c>
      <c r="C215">
        <v>8.7355527786717305E-2</v>
      </c>
      <c r="D215">
        <v>0.84903969892602138</v>
      </c>
      <c r="E215">
        <v>6.3604773287261371E-2</v>
      </c>
    </row>
    <row r="216" spans="1:5">
      <c r="A216" t="s">
        <v>219</v>
      </c>
      <c r="C216">
        <v>9.1165773389700944E-2</v>
      </c>
      <c r="D216">
        <v>0.84628618026437685</v>
      </c>
      <c r="E216">
        <v>6.2548046345922231E-2</v>
      </c>
    </row>
    <row r="217" spans="1:5">
      <c r="A217" t="s">
        <v>220</v>
      </c>
      <c r="C217">
        <v>8.9481496648482317E-2</v>
      </c>
      <c r="D217">
        <v>0.84670064279433244</v>
      </c>
      <c r="E217">
        <v>6.3817860557185149E-2</v>
      </c>
    </row>
    <row r="218" spans="1:5">
      <c r="A218" t="s">
        <v>221</v>
      </c>
      <c r="C218">
        <v>8.7931999408964345E-2</v>
      </c>
      <c r="D218">
        <v>0.84895505268806759</v>
      </c>
      <c r="E218">
        <v>6.3112947902968203E-2</v>
      </c>
    </row>
    <row r="219" spans="1:5">
      <c r="A219" t="s">
        <v>222</v>
      </c>
      <c r="C219">
        <v>8.7131648148721735E-2</v>
      </c>
      <c r="D219">
        <v>0.8497585302708287</v>
      </c>
      <c r="E219">
        <v>6.3109821580449629E-2</v>
      </c>
    </row>
    <row r="220" spans="1:5">
      <c r="A220" t="s">
        <v>223</v>
      </c>
      <c r="C220">
        <v>8.7799785010831258E-2</v>
      </c>
      <c r="D220">
        <v>0.84860645905128462</v>
      </c>
      <c r="E220">
        <v>6.359375593788405E-2</v>
      </c>
    </row>
    <row r="221" spans="1:5">
      <c r="A221" t="s">
        <v>224</v>
      </c>
      <c r="C221">
        <v>8.4945889742599603E-2</v>
      </c>
      <c r="D221">
        <v>0.8509948892482373</v>
      </c>
      <c r="E221">
        <v>6.4059221009163184E-2</v>
      </c>
    </row>
    <row r="222" spans="1:5">
      <c r="A222" t="s">
        <v>225</v>
      </c>
      <c r="C222">
        <v>8.3746803073871431E-2</v>
      </c>
      <c r="D222">
        <v>0.85301849223356729</v>
      </c>
      <c r="E222">
        <v>6.3234704692561303E-2</v>
      </c>
    </row>
    <row r="223" spans="1:5">
      <c r="A223" t="s">
        <v>226</v>
      </c>
      <c r="C223">
        <v>8.445805649981597E-2</v>
      </c>
      <c r="D223">
        <v>0.85296086887213562</v>
      </c>
      <c r="E223">
        <v>6.2581074628048364E-2</v>
      </c>
    </row>
    <row r="224" spans="1:5">
      <c r="A224" t="s">
        <v>227</v>
      </c>
      <c r="C224">
        <v>8.3335797052543098E-2</v>
      </c>
      <c r="D224">
        <v>0.85405784288558084</v>
      </c>
      <c r="E224">
        <v>6.2606360061876185E-2</v>
      </c>
    </row>
    <row r="225" spans="1:5">
      <c r="A225" t="s">
        <v>228</v>
      </c>
      <c r="C225">
        <v>8.3696109322051002E-2</v>
      </c>
      <c r="D225">
        <v>0.85406316456357556</v>
      </c>
      <c r="E225">
        <v>6.2240726114373472E-2</v>
      </c>
    </row>
    <row r="226" spans="1:5">
      <c r="A226" t="s">
        <v>229</v>
      </c>
      <c r="C226">
        <v>8.1797724318887932E-2</v>
      </c>
      <c r="D226">
        <v>0.85549086828013954</v>
      </c>
      <c r="E226">
        <v>6.2711407400972599E-2</v>
      </c>
    </row>
    <row r="227" spans="1:5">
      <c r="A227" t="s">
        <v>230</v>
      </c>
      <c r="C227">
        <v>8.1191529402095799E-2</v>
      </c>
      <c r="D227">
        <v>0.85439639094847009</v>
      </c>
      <c r="E227">
        <v>6.4412079649434115E-2</v>
      </c>
    </row>
    <row r="228" spans="1:5">
      <c r="A228" t="s">
        <v>231</v>
      </c>
      <c r="C228">
        <v>8.133104661436881E-2</v>
      </c>
      <c r="D228">
        <v>0.85312201900286955</v>
      </c>
      <c r="E228">
        <v>6.5546934382761671E-2</v>
      </c>
    </row>
    <row r="229" spans="1:5">
      <c r="A229" t="s">
        <v>232</v>
      </c>
      <c r="C229">
        <v>8.0295111288451598E-2</v>
      </c>
      <c r="D229">
        <v>0.85337933330095272</v>
      </c>
      <c r="E229">
        <v>6.632555541059576E-2</v>
      </c>
    </row>
    <row r="230" spans="1:5">
      <c r="A230" t="s">
        <v>233</v>
      </c>
      <c r="C230">
        <v>7.907820440074996E-2</v>
      </c>
      <c r="D230">
        <v>0.85346571012990891</v>
      </c>
      <c r="E230">
        <v>6.7456085469341037E-2</v>
      </c>
    </row>
    <row r="231" spans="1:5">
      <c r="A231" t="s">
        <v>234</v>
      </c>
      <c r="C231">
        <v>7.6185571398301677E-2</v>
      </c>
      <c r="D231">
        <v>0.85839975574710869</v>
      </c>
      <c r="E231">
        <v>6.541467285458949E-2</v>
      </c>
    </row>
    <row r="232" spans="1:5">
      <c r="A232" t="s">
        <v>235</v>
      </c>
      <c r="C232">
        <v>7.7035858045376784E-2</v>
      </c>
      <c r="D232">
        <v>0.85528096151460375</v>
      </c>
      <c r="E232">
        <v>6.768318044001953E-2</v>
      </c>
    </row>
    <row r="233" spans="1:5">
      <c r="A233" t="s">
        <v>236</v>
      </c>
      <c r="C233">
        <v>7.7024143395086342E-2</v>
      </c>
      <c r="D233">
        <v>0.85608867291086166</v>
      </c>
      <c r="E233">
        <v>6.688718369405193E-2</v>
      </c>
    </row>
    <row r="234" spans="1:5">
      <c r="A234" t="s">
        <v>237</v>
      </c>
      <c r="C234">
        <v>7.6581242499693891E-2</v>
      </c>
      <c r="D234">
        <v>0.85563022425955748</v>
      </c>
      <c r="E234">
        <v>6.7788533240748641E-2</v>
      </c>
    </row>
    <row r="235" spans="1:5">
      <c r="A235" t="s">
        <v>238</v>
      </c>
      <c r="C235">
        <v>7.8902560292750779E-2</v>
      </c>
      <c r="D235">
        <v>0.85272967506903818</v>
      </c>
      <c r="E235">
        <v>6.8367764638210982E-2</v>
      </c>
    </row>
    <row r="236" spans="1:5">
      <c r="A236" t="s">
        <v>239</v>
      </c>
      <c r="C236">
        <v>7.7752525160728655E-2</v>
      </c>
      <c r="D236">
        <v>0.85556468514177209</v>
      </c>
      <c r="E236">
        <v>6.668278969749912E-2</v>
      </c>
    </row>
    <row r="237" spans="1:5">
      <c r="A237" t="s">
        <v>240</v>
      </c>
      <c r="C237">
        <v>7.7770915166333693E-2</v>
      </c>
      <c r="D237">
        <v>0.85576704306291629</v>
      </c>
      <c r="E237">
        <v>6.6462041770750074E-2</v>
      </c>
    </row>
    <row r="238" spans="1:5">
      <c r="A238" t="s">
        <v>241</v>
      </c>
      <c r="C238">
        <v>7.7830769786555787E-2</v>
      </c>
      <c r="D238">
        <v>0.85577724396828447</v>
      </c>
      <c r="E238">
        <v>6.6391986245159657E-2</v>
      </c>
    </row>
    <row r="239" spans="1:5">
      <c r="A239" t="s">
        <v>242</v>
      </c>
      <c r="C239">
        <v>7.8178655580731907E-2</v>
      </c>
      <c r="D239">
        <v>0.85501782712676455</v>
      </c>
      <c r="E239">
        <v>6.6803517292503417E-2</v>
      </c>
    </row>
    <row r="240" spans="1:5">
      <c r="A240" t="s">
        <v>243</v>
      </c>
      <c r="C240">
        <v>7.7452383583654652E-2</v>
      </c>
      <c r="D240">
        <v>0.85554125304135309</v>
      </c>
      <c r="E240">
        <v>6.7006363374992217E-2</v>
      </c>
    </row>
    <row r="241" spans="1:5">
      <c r="A241" t="s">
        <v>244</v>
      </c>
      <c r="C241">
        <v>7.6913394468360735E-2</v>
      </c>
      <c r="D241">
        <v>0.85647611161179549</v>
      </c>
      <c r="E241">
        <v>6.6610493919843708E-2</v>
      </c>
    </row>
    <row r="242" spans="1:5">
      <c r="A242" t="s">
        <v>245</v>
      </c>
      <c r="C242">
        <v>7.7461002587466132E-2</v>
      </c>
      <c r="D242">
        <v>0.8553271566347016</v>
      </c>
      <c r="E242">
        <v>6.7211840777832196E-2</v>
      </c>
    </row>
    <row r="243" spans="1:5">
      <c r="A243" t="s">
        <v>246</v>
      </c>
      <c r="C243">
        <v>7.7845643361314623E-2</v>
      </c>
      <c r="D243">
        <v>0.85857760707900888</v>
      </c>
      <c r="E243">
        <v>6.3576749559676529E-2</v>
      </c>
    </row>
    <row r="244" spans="1:5">
      <c r="A244" t="s">
        <v>247</v>
      </c>
      <c r="C244">
        <v>7.658332068065607E-2</v>
      </c>
      <c r="D244">
        <v>0.85965182402672191</v>
      </c>
      <c r="E244">
        <v>6.376485529262195E-2</v>
      </c>
    </row>
    <row r="245" spans="1:5">
      <c r="A245" t="s">
        <v>248</v>
      </c>
      <c r="C245">
        <v>7.4754993258156446E-2</v>
      </c>
      <c r="D245">
        <v>0.8614991725376776</v>
      </c>
      <c r="E245">
        <v>6.3745834204166046E-2</v>
      </c>
    </row>
    <row r="246" spans="1:5">
      <c r="A246" t="s">
        <v>249</v>
      </c>
      <c r="C246">
        <v>7.6299433006634498E-2</v>
      </c>
      <c r="D246">
        <v>0.85763927145437435</v>
      </c>
      <c r="E246">
        <v>6.6061295538991122E-2</v>
      </c>
    </row>
    <row r="247" spans="1:5">
      <c r="A247" t="s">
        <v>250</v>
      </c>
      <c r="C247">
        <v>7.7089269226036497E-2</v>
      </c>
      <c r="D247">
        <v>0.8563609663325209</v>
      </c>
      <c r="E247">
        <v>6.654976444144256E-2</v>
      </c>
    </row>
    <row r="248" spans="1:5">
      <c r="A248" t="s">
        <v>251</v>
      </c>
      <c r="C248">
        <v>7.558956733523492E-2</v>
      </c>
      <c r="D248">
        <v>0.85874053035790454</v>
      </c>
      <c r="E248">
        <v>6.5669902306860484E-2</v>
      </c>
    </row>
    <row r="249" spans="1:5">
      <c r="A249" t="s">
        <v>252</v>
      </c>
      <c r="C249">
        <v>7.4930977955818462E-2</v>
      </c>
      <c r="D249">
        <v>0.85829377484147973</v>
      </c>
      <c r="E249">
        <v>6.6775247202701823E-2</v>
      </c>
    </row>
    <row r="250" spans="1:5">
      <c r="A250" t="s">
        <v>253</v>
      </c>
      <c r="C250">
        <v>7.2771276853602657E-2</v>
      </c>
      <c r="D250">
        <v>0.86211031440954933</v>
      </c>
      <c r="E250">
        <v>6.5118408736848016E-2</v>
      </c>
    </row>
    <row r="251" spans="1:5">
      <c r="A251" t="s">
        <v>254</v>
      </c>
      <c r="C251">
        <v>7.3038439411333353E-2</v>
      </c>
      <c r="D251">
        <v>0.86226559517574874</v>
      </c>
      <c r="E251">
        <v>6.4695965412917972E-2</v>
      </c>
    </row>
    <row r="252" spans="1:5">
      <c r="A252" t="s">
        <v>255</v>
      </c>
      <c r="C252">
        <v>7.3057834682467571E-2</v>
      </c>
      <c r="D252">
        <v>0.85996108642753366</v>
      </c>
      <c r="E252">
        <v>6.6981078889998741E-2</v>
      </c>
    </row>
    <row r="253" spans="1:5">
      <c r="A253" t="s">
        <v>256</v>
      </c>
      <c r="C253">
        <v>7.1601693048203088E-2</v>
      </c>
      <c r="D253">
        <v>0.8618756209539008</v>
      </c>
      <c r="E253">
        <v>6.6522685997896167E-2</v>
      </c>
    </row>
    <row r="254" spans="1:5">
      <c r="A254" t="s">
        <v>257</v>
      </c>
      <c r="C254">
        <v>7.08694160578619E-2</v>
      </c>
      <c r="D254">
        <v>0.86464115652093709</v>
      </c>
      <c r="E254">
        <v>6.4489427421200937E-2</v>
      </c>
    </row>
    <row r="255" spans="1:5">
      <c r="A255" t="s">
        <v>258</v>
      </c>
      <c r="C255">
        <v>7.2525157824198078E-2</v>
      </c>
      <c r="D255">
        <v>0.86247240567772887</v>
      </c>
      <c r="E255">
        <v>6.5002436498073024E-2</v>
      </c>
    </row>
    <row r="256" spans="1:5">
      <c r="A256" t="s">
        <v>259</v>
      </c>
      <c r="C256">
        <v>7.2648718850713487E-2</v>
      </c>
      <c r="D256">
        <v>0.86152179386705563</v>
      </c>
      <c r="E256">
        <v>6.582948728223087E-2</v>
      </c>
    </row>
    <row r="257" spans="1:5">
      <c r="A257" t="s">
        <v>260</v>
      </c>
      <c r="C257">
        <v>7.237988843796371E-2</v>
      </c>
      <c r="D257">
        <v>0.86258076979588749</v>
      </c>
      <c r="E257">
        <v>6.5039341766148909E-2</v>
      </c>
    </row>
    <row r="258" spans="1:5">
      <c r="A258" t="s">
        <v>261</v>
      </c>
      <c r="C258">
        <v>7.0323971913414343E-2</v>
      </c>
      <c r="D258">
        <v>0.85930566998181879</v>
      </c>
      <c r="E258">
        <v>7.0370358104766884E-2</v>
      </c>
    </row>
    <row r="259" spans="1:5">
      <c r="A259" t="s">
        <v>262</v>
      </c>
      <c r="C259">
        <v>6.8777528569986368E-2</v>
      </c>
      <c r="D259">
        <v>0.86265123214689277</v>
      </c>
      <c r="E259">
        <v>6.8571239283120755E-2</v>
      </c>
    </row>
    <row r="260" spans="1:5">
      <c r="A260" t="s">
        <v>263</v>
      </c>
      <c r="C260">
        <v>7.0160944690064994E-2</v>
      </c>
      <c r="D260">
        <v>0.86075747409115166</v>
      </c>
      <c r="E260">
        <v>6.9081581218783369E-2</v>
      </c>
    </row>
    <row r="261" spans="1:5">
      <c r="A261" t="s">
        <v>264</v>
      </c>
      <c r="C261">
        <v>7.0649636893621637E-2</v>
      </c>
      <c r="D261">
        <v>0.86059180148035319</v>
      </c>
      <c r="E261">
        <v>6.875856162602513E-2</v>
      </c>
    </row>
    <row r="262" spans="1:5">
      <c r="A262" t="s">
        <v>265</v>
      </c>
      <c r="C262">
        <v>7.1988907124307069E-2</v>
      </c>
      <c r="D262">
        <v>0.85991714244708439</v>
      </c>
      <c r="E262">
        <v>6.8093950428608649E-2</v>
      </c>
    </row>
    <row r="263" spans="1:5">
      <c r="A263" t="s">
        <v>266</v>
      </c>
      <c r="C263">
        <v>7.1727873865312861E-2</v>
      </c>
      <c r="D263">
        <v>0.86091345150432541</v>
      </c>
      <c r="E263">
        <v>6.7358674630361659E-2</v>
      </c>
    </row>
    <row r="264" spans="1:5">
      <c r="A264" t="s">
        <v>267</v>
      </c>
      <c r="C264">
        <v>7.3252659276205584E-2</v>
      </c>
      <c r="D264">
        <v>0.85852283152529474</v>
      </c>
      <c r="E264">
        <v>6.8224509198499539E-2</v>
      </c>
    </row>
    <row r="265" spans="1:5">
      <c r="A265" t="s">
        <v>268</v>
      </c>
      <c r="C265">
        <v>7.3142391374696525E-2</v>
      </c>
      <c r="D265">
        <v>0.85910664898533873</v>
      </c>
      <c r="E265">
        <v>6.7750959639964678E-2</v>
      </c>
    </row>
    <row r="266" spans="1:5">
      <c r="A266" t="s">
        <v>269</v>
      </c>
      <c r="C266">
        <v>7.4753883976682339E-2</v>
      </c>
      <c r="D266">
        <v>0.85555170483013887</v>
      </c>
      <c r="E266">
        <v>6.9694411193178749E-2</v>
      </c>
    </row>
    <row r="267" spans="1:5">
      <c r="A267" t="s">
        <v>270</v>
      </c>
      <c r="C267">
        <v>7.5823860924570774E-2</v>
      </c>
      <c r="D267">
        <v>0.85339533356656738</v>
      </c>
      <c r="E267">
        <v>7.078080550886183E-2</v>
      </c>
    </row>
    <row r="268" spans="1:5">
      <c r="A268" t="s">
        <v>271</v>
      </c>
      <c r="C268">
        <v>7.5924241384855984E-2</v>
      </c>
      <c r="D268">
        <v>0.85311157930743864</v>
      </c>
      <c r="E268">
        <v>7.0964179307705405E-2</v>
      </c>
    </row>
    <row r="269" spans="1:5">
      <c r="A269" t="s">
        <v>272</v>
      </c>
      <c r="C269">
        <v>7.5453618401330289E-2</v>
      </c>
      <c r="D269">
        <v>0.85486038892816363</v>
      </c>
      <c r="E269">
        <v>6.9685992670506097E-2</v>
      </c>
    </row>
    <row r="270" spans="1:5">
      <c r="A270" t="s">
        <v>273</v>
      </c>
      <c r="C270">
        <v>7.5835754629934277E-2</v>
      </c>
      <c r="D270">
        <v>0.8537052004181388</v>
      </c>
      <c r="E270">
        <v>7.0459044951926855E-2</v>
      </c>
    </row>
    <row r="271" spans="1:5">
      <c r="A271" t="s">
        <v>274</v>
      </c>
      <c r="C271">
        <v>7.6189083538948488E-2</v>
      </c>
      <c r="D271">
        <v>0.85448338621307596</v>
      </c>
      <c r="E271">
        <v>6.9327530247975472E-2</v>
      </c>
    </row>
    <row r="272" spans="1:5">
      <c r="A272" t="s">
        <v>275</v>
      </c>
      <c r="C272">
        <v>7.5643355746783228E-2</v>
      </c>
      <c r="D272">
        <v>0.85544545371929182</v>
      </c>
      <c r="E272">
        <v>6.8911190533924888E-2</v>
      </c>
    </row>
    <row r="273" spans="1:5">
      <c r="A273" t="s">
        <v>276</v>
      </c>
      <c r="C273">
        <v>7.7106430004935542E-2</v>
      </c>
      <c r="D273">
        <v>0.85141195351692556</v>
      </c>
      <c r="E273">
        <v>7.1481616478138887E-2</v>
      </c>
    </row>
    <row r="274" spans="1:5">
      <c r="A274" t="s">
        <v>277</v>
      </c>
      <c r="C274">
        <v>7.5771665212101921E-2</v>
      </c>
      <c r="D274">
        <v>0.85117613791618207</v>
      </c>
      <c r="E274">
        <v>7.3052196871715977E-2</v>
      </c>
    </row>
    <row r="275" spans="1:5">
      <c r="A275" t="s">
        <v>278</v>
      </c>
      <c r="C275">
        <v>7.6609055950641075E-2</v>
      </c>
      <c r="D275">
        <v>0.85029039968943387</v>
      </c>
      <c r="E275">
        <v>7.3100544359925024E-2</v>
      </c>
    </row>
    <row r="276" spans="1:5">
      <c r="A276" t="s">
        <v>279</v>
      </c>
      <c r="C276">
        <v>7.542752027644628E-2</v>
      </c>
      <c r="D276">
        <v>0.85206441342674866</v>
      </c>
      <c r="E276">
        <v>7.2508066296805049E-2</v>
      </c>
    </row>
    <row r="277" spans="1:5">
      <c r="A277" t="s">
        <v>280</v>
      </c>
      <c r="C277">
        <v>7.521849840296331E-2</v>
      </c>
      <c r="D277">
        <v>0.85297129420292517</v>
      </c>
      <c r="E277">
        <v>7.1810207394111536E-2</v>
      </c>
    </row>
    <row r="278" spans="1:5">
      <c r="A278" t="s">
        <v>281</v>
      </c>
      <c r="C278">
        <v>7.6572538018657543E-2</v>
      </c>
      <c r="D278">
        <v>0.84880350619487144</v>
      </c>
      <c r="E278">
        <v>7.4623955786471144E-2</v>
      </c>
    </row>
    <row r="279" spans="1:5">
      <c r="A279" t="s">
        <v>282</v>
      </c>
      <c r="C279">
        <v>7.6517790280553735E-2</v>
      </c>
      <c r="D279">
        <v>0.85020101368499268</v>
      </c>
      <c r="E279">
        <v>7.3281196034453544E-2</v>
      </c>
    </row>
    <row r="280" spans="1:5">
      <c r="A280" t="s">
        <v>283</v>
      </c>
      <c r="C280">
        <v>7.7524828054410494E-2</v>
      </c>
      <c r="D280">
        <v>0.84872286090527504</v>
      </c>
      <c r="E280">
        <v>7.3752311040314517E-2</v>
      </c>
    </row>
    <row r="281" spans="1:5">
      <c r="A281" t="s">
        <v>284</v>
      </c>
      <c r="C281">
        <v>7.7020195175940026E-2</v>
      </c>
      <c r="D281">
        <v>0.85055173677492846</v>
      </c>
      <c r="E281">
        <v>7.2428068049131489E-2</v>
      </c>
    </row>
    <row r="282" spans="1:5">
      <c r="A282" t="s">
        <v>285</v>
      </c>
      <c r="C282">
        <v>7.7749875247992248E-2</v>
      </c>
      <c r="D282">
        <v>0.85262939520204717</v>
      </c>
      <c r="E282">
        <v>6.9620729549960625E-2</v>
      </c>
    </row>
    <row r="283" spans="1:5">
      <c r="A283" t="s">
        <v>286</v>
      </c>
      <c r="C283">
        <v>7.8132660916051852E-2</v>
      </c>
      <c r="D283">
        <v>0.85096254639040858</v>
      </c>
      <c r="E283">
        <v>7.0904792693539456E-2</v>
      </c>
    </row>
    <row r="284" spans="1:5">
      <c r="A284" t="s">
        <v>287</v>
      </c>
      <c r="C284">
        <v>7.7730420019750182E-2</v>
      </c>
      <c r="D284">
        <v>0.8512989186576484</v>
      </c>
      <c r="E284">
        <v>7.0970661322601394E-2</v>
      </c>
    </row>
    <row r="285" spans="1:5">
      <c r="A285" t="s">
        <v>288</v>
      </c>
      <c r="C285">
        <v>7.8310702330533916E-2</v>
      </c>
      <c r="D285">
        <v>0.85015410588364404</v>
      </c>
      <c r="E285">
        <v>7.153519178582203E-2</v>
      </c>
    </row>
    <row r="286" spans="1:5">
      <c r="A286" t="s">
        <v>289</v>
      </c>
      <c r="C286">
        <v>7.95483603691442E-2</v>
      </c>
      <c r="D286">
        <v>0.84812413943374843</v>
      </c>
      <c r="E286">
        <v>7.2327500197107347E-2</v>
      </c>
    </row>
    <row r="287" spans="1:5">
      <c r="A287" t="s">
        <v>290</v>
      </c>
      <c r="C287">
        <v>7.7827688953094484E-2</v>
      </c>
      <c r="D287">
        <v>0.84928820598429877</v>
      </c>
      <c r="E287">
        <v>7.2884105062606633E-2</v>
      </c>
    </row>
    <row r="288" spans="1:5">
      <c r="A288" t="s">
        <v>291</v>
      </c>
      <c r="C288">
        <v>7.7653425617184871E-2</v>
      </c>
      <c r="D288">
        <v>0.84684935851586418</v>
      </c>
      <c r="E288">
        <v>7.5497215866950851E-2</v>
      </c>
    </row>
    <row r="289" spans="1:5">
      <c r="A289" t="s">
        <v>292</v>
      </c>
      <c r="C289">
        <v>7.7480092877198536E-2</v>
      </c>
      <c r="D289">
        <v>0.84610518861265727</v>
      </c>
      <c r="E289">
        <v>7.6414718510144239E-2</v>
      </c>
    </row>
    <row r="290" spans="1:5">
      <c r="A290" t="s">
        <v>293</v>
      </c>
      <c r="C290">
        <v>7.6043490683286988E-2</v>
      </c>
      <c r="D290">
        <v>0.84885070206406099</v>
      </c>
      <c r="E290">
        <v>7.5105807252652132E-2</v>
      </c>
    </row>
    <row r="291" spans="1:5">
      <c r="A291" t="s">
        <v>294</v>
      </c>
      <c r="C291">
        <v>7.6496786237885139E-2</v>
      </c>
      <c r="D291">
        <v>0.84774773109382628</v>
      </c>
      <c r="E291">
        <v>7.575548266828866E-2</v>
      </c>
    </row>
    <row r="292" spans="1:5">
      <c r="A292" t="s">
        <v>295</v>
      </c>
      <c r="C292">
        <v>7.5639688138694344E-2</v>
      </c>
      <c r="D292">
        <v>0.84853452095885962</v>
      </c>
      <c r="E292">
        <v>7.5825790902446025E-2</v>
      </c>
    </row>
    <row r="293" spans="1:5">
      <c r="A293" t="s">
        <v>296</v>
      </c>
      <c r="C293">
        <v>7.5144013039889254E-2</v>
      </c>
      <c r="D293">
        <v>0.84817752510163069</v>
      </c>
      <c r="E293">
        <v>7.6678461858480054E-2</v>
      </c>
    </row>
    <row r="294" spans="1:5">
      <c r="A294" t="s">
        <v>297</v>
      </c>
      <c r="C294">
        <v>7.6256367790099588E-2</v>
      </c>
      <c r="D294">
        <v>0.84690603625978911</v>
      </c>
      <c r="E294">
        <v>7.6837595950111331E-2</v>
      </c>
    </row>
    <row r="295" spans="1:5">
      <c r="A295" t="s">
        <v>298</v>
      </c>
      <c r="C295">
        <v>7.547016445713102E-2</v>
      </c>
      <c r="D295">
        <v>0.84743597007779892</v>
      </c>
      <c r="E295">
        <v>7.7093865465070091E-2</v>
      </c>
    </row>
    <row r="296" spans="1:5">
      <c r="A296" t="s">
        <v>299</v>
      </c>
      <c r="C296">
        <v>7.3101055296503126E-2</v>
      </c>
      <c r="D296">
        <v>0.85012149914378932</v>
      </c>
      <c r="E296">
        <v>7.6777445559707641E-2</v>
      </c>
    </row>
    <row r="297" spans="1:5">
      <c r="A297" t="s">
        <v>300</v>
      </c>
      <c r="C297">
        <v>7.2586952812964262E-2</v>
      </c>
      <c r="D297">
        <v>0.85111496565999623</v>
      </c>
      <c r="E297">
        <v>7.6298081527039513E-2</v>
      </c>
    </row>
    <row r="298" spans="1:5">
      <c r="A298" t="s">
        <v>301</v>
      </c>
      <c r="C298">
        <v>7.2759618037039495E-2</v>
      </c>
      <c r="D298">
        <v>0.85008028109852907</v>
      </c>
      <c r="E298">
        <v>7.7160100864431577E-2</v>
      </c>
    </row>
    <row r="299" spans="1:5">
      <c r="A299" t="s">
        <v>302</v>
      </c>
      <c r="C299">
        <v>7.3654723449912265E-2</v>
      </c>
      <c r="D299">
        <v>0.85032363681284084</v>
      </c>
      <c r="E299">
        <v>7.6021639737246946E-2</v>
      </c>
    </row>
    <row r="300" spans="1:5">
      <c r="A300" t="s">
        <v>303</v>
      </c>
      <c r="C300">
        <v>7.3797547995666374E-2</v>
      </c>
      <c r="D300">
        <v>0.8500199844253431</v>
      </c>
      <c r="E300">
        <v>7.6182467578990498E-2</v>
      </c>
    </row>
    <row r="301" spans="1:5">
      <c r="A301" t="s">
        <v>304</v>
      </c>
      <c r="C301">
        <v>6.9475605986887456E-2</v>
      </c>
      <c r="D301">
        <v>0.85320543754376321</v>
      </c>
      <c r="E301">
        <v>7.7318956469349234E-2</v>
      </c>
    </row>
    <row r="302" spans="1:5">
      <c r="A302" t="s">
        <v>305</v>
      </c>
      <c r="C302">
        <v>6.5403395896337355E-2</v>
      </c>
      <c r="D302">
        <v>0.85853609381964091</v>
      </c>
      <c r="E302">
        <v>7.6060510284021832E-2</v>
      </c>
    </row>
    <row r="303" spans="1:5">
      <c r="A303" t="s">
        <v>306</v>
      </c>
      <c r="C303">
        <v>6.5325715646930807E-2</v>
      </c>
      <c r="D303">
        <v>0.85875472491648552</v>
      </c>
      <c r="E303">
        <v>7.5919559436583642E-2</v>
      </c>
    </row>
    <row r="304" spans="1:5">
      <c r="A304" t="s">
        <v>307</v>
      </c>
      <c r="C304">
        <v>6.8628647785179478E-2</v>
      </c>
      <c r="D304">
        <v>0.853347742407919</v>
      </c>
      <c r="E304">
        <v>7.8023609806901401E-2</v>
      </c>
    </row>
    <row r="305" spans="1:5">
      <c r="A305" t="s">
        <v>308</v>
      </c>
      <c r="C305">
        <v>7.2123034908889896E-2</v>
      </c>
      <c r="D305">
        <v>0.84738632816470316</v>
      </c>
      <c r="E305">
        <v>8.0490636926406942E-2</v>
      </c>
    </row>
    <row r="306" spans="1:5">
      <c r="A306" t="s">
        <v>309</v>
      </c>
      <c r="C306">
        <v>7.1823980452083935E-2</v>
      </c>
      <c r="D306">
        <v>0.84944640159035611</v>
      </c>
      <c r="E306">
        <v>7.8729617957559964E-2</v>
      </c>
    </row>
    <row r="307" spans="1:5">
      <c r="A307" t="s">
        <v>310</v>
      </c>
      <c r="C307">
        <v>7.1762010880402002E-2</v>
      </c>
      <c r="D307">
        <v>0.84871705900219963</v>
      </c>
      <c r="E307">
        <v>7.9520930117398331E-2</v>
      </c>
    </row>
    <row r="308" spans="1:5">
      <c r="A308" t="s">
        <v>311</v>
      </c>
      <c r="C308">
        <v>7.1701090005934109E-2</v>
      </c>
      <c r="D308">
        <v>0.84943080965911477</v>
      </c>
      <c r="E308">
        <v>7.8868100334951105E-2</v>
      </c>
    </row>
    <row r="309" spans="1:5">
      <c r="A309" t="s">
        <v>312</v>
      </c>
      <c r="C309">
        <v>7.187387104841382E-2</v>
      </c>
      <c r="D309">
        <v>0.84818735176506987</v>
      </c>
      <c r="E309">
        <v>7.9938777186516319E-2</v>
      </c>
    </row>
    <row r="310" spans="1:5">
      <c r="A310" t="s">
        <v>313</v>
      </c>
      <c r="C310">
        <v>7.3552372869694974E-2</v>
      </c>
      <c r="D310">
        <v>0.84643114954217291</v>
      </c>
      <c r="E310">
        <v>8.0016477588132226E-2</v>
      </c>
    </row>
    <row r="311" spans="1:5">
      <c r="A311" t="s">
        <v>314</v>
      </c>
      <c r="C311">
        <v>7.2903651383101217E-2</v>
      </c>
      <c r="D311">
        <v>0.84782580983920408</v>
      </c>
      <c r="E311">
        <v>7.9270538777694702E-2</v>
      </c>
    </row>
    <row r="312" spans="1:5">
      <c r="A312" t="s">
        <v>315</v>
      </c>
      <c r="C312">
        <v>7.1925052139455867E-2</v>
      </c>
      <c r="D312">
        <v>0.84980788061298351</v>
      </c>
      <c r="E312">
        <v>7.8267067247560509E-2</v>
      </c>
    </row>
    <row r="313" spans="1:5">
      <c r="A313" t="s">
        <v>316</v>
      </c>
      <c r="C313">
        <v>7.1513895529614457E-2</v>
      </c>
      <c r="D313">
        <v>0.8515548997068827</v>
      </c>
      <c r="E313">
        <v>7.6931204763502792E-2</v>
      </c>
    </row>
    <row r="314" spans="1:5">
      <c r="A314" t="s">
        <v>317</v>
      </c>
      <c r="C314">
        <v>7.0850058203623598E-2</v>
      </c>
      <c r="D314">
        <v>0.85148990252040324</v>
      </c>
      <c r="E314">
        <v>7.7660039275973161E-2</v>
      </c>
    </row>
    <row r="315" spans="1:5">
      <c r="A315" t="s">
        <v>318</v>
      </c>
      <c r="C315">
        <v>7.2005752044452073E-2</v>
      </c>
      <c r="D315">
        <v>0.85267964288494325</v>
      </c>
      <c r="E315">
        <v>7.5314605070604682E-2</v>
      </c>
    </row>
    <row r="316" spans="1:5">
      <c r="A316" t="s">
        <v>319</v>
      </c>
      <c r="C316">
        <v>7.1818774086685494E-2</v>
      </c>
      <c r="D316">
        <v>0.85221586147369077</v>
      </c>
      <c r="E316">
        <v>7.5965364439623664E-2</v>
      </c>
    </row>
    <row r="317" spans="1:5">
      <c r="A317" t="s">
        <v>320</v>
      </c>
      <c r="C317">
        <v>7.0795944517178244E-2</v>
      </c>
      <c r="D317">
        <v>0.85463153583882445</v>
      </c>
      <c r="E317">
        <v>7.4572519643997151E-2</v>
      </c>
    </row>
    <row r="318" spans="1:5">
      <c r="A318" t="s">
        <v>321</v>
      </c>
      <c r="C318">
        <v>7.0975111876758423E-2</v>
      </c>
      <c r="D318">
        <v>0.85996107923946485</v>
      </c>
      <c r="E318">
        <v>6.9063808883776862E-2</v>
      </c>
    </row>
    <row r="319" spans="1:5">
      <c r="A319" t="s">
        <v>322</v>
      </c>
      <c r="C319">
        <v>6.950993954954629E-2</v>
      </c>
      <c r="D319">
        <v>0.86074797602962116</v>
      </c>
      <c r="E319">
        <v>6.9742084420832545E-2</v>
      </c>
    </row>
    <row r="320" spans="1:5">
      <c r="A320" t="s">
        <v>323</v>
      </c>
      <c r="C320">
        <v>7.2347126859748354E-2</v>
      </c>
      <c r="D320">
        <v>0.8576249073751826</v>
      </c>
      <c r="E320">
        <v>7.002796576506902E-2</v>
      </c>
    </row>
    <row r="321" spans="1:5">
      <c r="A321" t="s">
        <v>324</v>
      </c>
      <c r="C321">
        <v>7.1374209844060801E-2</v>
      </c>
      <c r="D321">
        <v>0.85933482602421507</v>
      </c>
      <c r="E321">
        <v>6.9290964131724211E-2</v>
      </c>
    </row>
    <row r="322" spans="1:5">
      <c r="A322" t="s">
        <v>325</v>
      </c>
      <c r="C322">
        <v>7.2442556053876533E-2</v>
      </c>
      <c r="D322">
        <v>0.85688929294322491</v>
      </c>
      <c r="E322">
        <v>7.0668151002898402E-2</v>
      </c>
    </row>
    <row r="323" spans="1:5">
      <c r="A323" t="s">
        <v>326</v>
      </c>
      <c r="C323">
        <v>7.0721623293657471E-2</v>
      </c>
      <c r="D323">
        <v>0.85889925018630497</v>
      </c>
      <c r="E323">
        <v>7.0379126520037721E-2</v>
      </c>
    </row>
    <row r="324" spans="1:5">
      <c r="A324" t="s">
        <v>327</v>
      </c>
      <c r="C324">
        <v>7.29085972127793E-2</v>
      </c>
      <c r="D324">
        <v>0.85790732237901723</v>
      </c>
      <c r="E324">
        <v>6.9184080408203452E-2</v>
      </c>
    </row>
    <row r="325" spans="1:5">
      <c r="A325" t="s">
        <v>328</v>
      </c>
      <c r="C325">
        <v>7.4160684752637762E-2</v>
      </c>
      <c r="D325">
        <v>0.85562121947590442</v>
      </c>
      <c r="E325">
        <v>7.0218095771457822E-2</v>
      </c>
    </row>
    <row r="326" spans="1:5">
      <c r="A326" t="s">
        <v>329</v>
      </c>
      <c r="C326">
        <v>7.4344432211333883E-2</v>
      </c>
      <c r="D326">
        <v>0.85717097759983851</v>
      </c>
      <c r="E326">
        <v>6.8484590188827688E-2</v>
      </c>
    </row>
    <row r="327" spans="1:5">
      <c r="A327" t="s">
        <v>330</v>
      </c>
      <c r="C327">
        <v>7.3204948801697783E-2</v>
      </c>
      <c r="D327">
        <v>0.85737364134636496</v>
      </c>
      <c r="E327">
        <v>6.9421409851937232E-2</v>
      </c>
    </row>
    <row r="328" spans="1:5">
      <c r="A328" t="s">
        <v>331</v>
      </c>
      <c r="C328">
        <v>7.2272561078470951E-2</v>
      </c>
      <c r="D328">
        <v>0.85879206786666684</v>
      </c>
      <c r="E328">
        <v>6.8935371054862041E-2</v>
      </c>
    </row>
    <row r="329" spans="1:5">
      <c r="A329" t="s">
        <v>332</v>
      </c>
      <c r="C329">
        <v>7.1635935536607229E-2</v>
      </c>
      <c r="D329">
        <v>0.86108582471856654</v>
      </c>
      <c r="E329">
        <v>6.7278239744826121E-2</v>
      </c>
    </row>
    <row r="330" spans="1:5">
      <c r="A330" t="s">
        <v>333</v>
      </c>
      <c r="C330">
        <v>7.1995461876991976E-2</v>
      </c>
      <c r="D330">
        <v>0.86013056649804909</v>
      </c>
      <c r="E330">
        <v>6.7873971624958937E-2</v>
      </c>
    </row>
    <row r="331" spans="1:5">
      <c r="A331" t="s">
        <v>334</v>
      </c>
      <c r="C331">
        <v>7.1581677605711255E-2</v>
      </c>
      <c r="D331">
        <v>0.86009514094566231</v>
      </c>
      <c r="E331">
        <v>6.8323181448626341E-2</v>
      </c>
    </row>
    <row r="332" spans="1:5">
      <c r="A332" t="s">
        <v>335</v>
      </c>
      <c r="C332">
        <v>7.1273756371254882E-2</v>
      </c>
      <c r="D332">
        <v>0.86057917111269355</v>
      </c>
      <c r="E332">
        <v>6.8147072516051593E-2</v>
      </c>
    </row>
    <row r="333" spans="1:5">
      <c r="A333" t="s">
        <v>336</v>
      </c>
      <c r="C333">
        <v>7.1617545069557156E-2</v>
      </c>
      <c r="D333">
        <v>0.86086476568767423</v>
      </c>
      <c r="E333">
        <v>6.7517689242768658E-2</v>
      </c>
    </row>
    <row r="334" spans="1:5">
      <c r="A334" t="s">
        <v>337</v>
      </c>
      <c r="C334">
        <v>7.1817598734753865E-2</v>
      </c>
      <c r="D334">
        <v>0.8618474327555834</v>
      </c>
      <c r="E334">
        <v>6.6334968509662612E-2</v>
      </c>
    </row>
    <row r="335" spans="1:5">
      <c r="A335" t="s">
        <v>338</v>
      </c>
      <c r="C335">
        <v>7.2082204253153245E-2</v>
      </c>
      <c r="D335">
        <v>0.86090039978358535</v>
      </c>
      <c r="E335">
        <v>6.7017395963261395E-2</v>
      </c>
    </row>
    <row r="336" spans="1:5">
      <c r="A336" t="s">
        <v>339</v>
      </c>
      <c r="C336">
        <v>7.195382068218692E-2</v>
      </c>
      <c r="D336">
        <v>0.86114814613902491</v>
      </c>
      <c r="E336">
        <v>6.6898033178788119E-2</v>
      </c>
    </row>
    <row r="337" spans="1:5">
      <c r="A337" t="s">
        <v>340</v>
      </c>
      <c r="C337">
        <v>7.3784755111066663E-2</v>
      </c>
      <c r="D337">
        <v>0.86041830506351591</v>
      </c>
      <c r="E337">
        <v>6.5796939825417469E-2</v>
      </c>
    </row>
    <row r="338" spans="1:5">
      <c r="A338" t="s">
        <v>341</v>
      </c>
      <c r="C338">
        <v>7.3626961410675817E-2</v>
      </c>
      <c r="D338">
        <v>0.85920994571667753</v>
      </c>
      <c r="E338">
        <v>6.7163092872646726E-2</v>
      </c>
    </row>
    <row r="339" spans="1:5">
      <c r="A339" t="s">
        <v>342</v>
      </c>
      <c r="C339">
        <v>7.2856394648487172E-2</v>
      </c>
      <c r="D339">
        <v>0.85944833354471206</v>
      </c>
      <c r="E339">
        <v>6.7695271806800877E-2</v>
      </c>
    </row>
    <row r="340" spans="1:5">
      <c r="A340" t="s">
        <v>343</v>
      </c>
      <c r="C340">
        <v>7.2249577183073524E-2</v>
      </c>
      <c r="D340">
        <v>0.86255546560505714</v>
      </c>
      <c r="E340">
        <v>6.5194957211869242E-2</v>
      </c>
    </row>
    <row r="341" spans="1:5">
      <c r="A341" t="s">
        <v>344</v>
      </c>
      <c r="C341">
        <v>7.1645125451503727E-2</v>
      </c>
      <c r="D341">
        <v>0.86502352919488446</v>
      </c>
      <c r="E341">
        <v>6.3331345353611665E-2</v>
      </c>
    </row>
    <row r="342" spans="1:5">
      <c r="A342" t="s">
        <v>345</v>
      </c>
      <c r="C342">
        <v>7.0632542350953453E-2</v>
      </c>
      <c r="D342">
        <v>0.86412707708560466</v>
      </c>
      <c r="E342">
        <v>6.5240380563441919E-2</v>
      </c>
    </row>
    <row r="343" spans="1:5">
      <c r="A343" t="s">
        <v>346</v>
      </c>
      <c r="C343">
        <v>7.0644568683991604E-2</v>
      </c>
      <c r="D343">
        <v>0.86448503814102096</v>
      </c>
      <c r="E343">
        <v>6.4870393174987412E-2</v>
      </c>
    </row>
    <row r="344" spans="1:5">
      <c r="A344" t="s">
        <v>347</v>
      </c>
      <c r="C344">
        <v>6.8539219285557951E-2</v>
      </c>
      <c r="D344">
        <v>0.86649522857413885</v>
      </c>
      <c r="E344">
        <v>6.4965552140303126E-2</v>
      </c>
    </row>
    <row r="345" spans="1:5">
      <c r="A345" t="s">
        <v>348</v>
      </c>
      <c r="C345">
        <v>6.7688049537472081E-2</v>
      </c>
      <c r="D345">
        <v>0.86931692400109439</v>
      </c>
      <c r="E345">
        <v>6.299502646143347E-2</v>
      </c>
    </row>
    <row r="346" spans="1:5">
      <c r="A346" t="s">
        <v>349</v>
      </c>
      <c r="C346">
        <v>6.9789448177168437E-2</v>
      </c>
      <c r="D346">
        <v>0.86734605521252572</v>
      </c>
      <c r="E346">
        <v>6.2864496610305881E-2</v>
      </c>
    </row>
    <row r="347" spans="1:5">
      <c r="A347" t="s">
        <v>350</v>
      </c>
      <c r="C347">
        <v>7.0374177496968476E-2</v>
      </c>
      <c r="D347">
        <v>0.86756720284856714</v>
      </c>
      <c r="E347">
        <v>6.2058619654464429E-2</v>
      </c>
    </row>
    <row r="348" spans="1:5">
      <c r="A348" t="s">
        <v>351</v>
      </c>
      <c r="C348">
        <v>7.002442175372918E-2</v>
      </c>
      <c r="D348">
        <v>0.86737841287754336</v>
      </c>
      <c r="E348">
        <v>6.259716536872735E-2</v>
      </c>
    </row>
    <row r="349" spans="1:5">
      <c r="A349" t="s">
        <v>352</v>
      </c>
      <c r="C349">
        <v>6.8791538343438971E-2</v>
      </c>
      <c r="D349">
        <v>0.86873341108191804</v>
      </c>
      <c r="E349">
        <v>6.247505057464308E-2</v>
      </c>
    </row>
    <row r="350" spans="1:5">
      <c r="A350" t="s">
        <v>353</v>
      </c>
      <c r="C350">
        <v>6.8600997512054285E-2</v>
      </c>
      <c r="D350">
        <v>0.86901085812864898</v>
      </c>
      <c r="E350">
        <v>6.2388144359296592E-2</v>
      </c>
    </row>
    <row r="351" spans="1:5">
      <c r="A351" t="s">
        <v>354</v>
      </c>
      <c r="C351">
        <v>6.8985635947652973E-2</v>
      </c>
      <c r="D351">
        <v>0.86845078500814976</v>
      </c>
      <c r="E351">
        <v>6.2563579044197223E-2</v>
      </c>
    </row>
    <row r="352" spans="1:5">
      <c r="A352" t="s">
        <v>355</v>
      </c>
      <c r="C352">
        <v>6.8512609382981218E-2</v>
      </c>
      <c r="D352">
        <v>0.87068183847229197</v>
      </c>
      <c r="E352">
        <v>6.0805552144726847E-2</v>
      </c>
    </row>
    <row r="353" spans="1:5">
      <c r="A353" t="s">
        <v>356</v>
      </c>
      <c r="C353">
        <v>7.0743556434252425E-2</v>
      </c>
      <c r="D353">
        <v>0.86642180449680828</v>
      </c>
      <c r="E353">
        <v>6.2834639068939255E-2</v>
      </c>
    </row>
    <row r="354" spans="1:5">
      <c r="A354" t="s">
        <v>357</v>
      </c>
      <c r="C354">
        <v>7.0782872496315305E-2</v>
      </c>
      <c r="D354">
        <v>0.86737990482861327</v>
      </c>
      <c r="E354">
        <v>6.1837222675071531E-2</v>
      </c>
    </row>
    <row r="355" spans="1:5">
      <c r="A355" t="s">
        <v>358</v>
      </c>
      <c r="C355">
        <v>7.0153547484235718E-2</v>
      </c>
      <c r="D355">
        <v>0.86793122127084277</v>
      </c>
      <c r="E355">
        <v>6.1915231244921522E-2</v>
      </c>
    </row>
    <row r="356" spans="1:5">
      <c r="A356" t="s">
        <v>359</v>
      </c>
      <c r="C356">
        <v>7.0287888470148358E-2</v>
      </c>
      <c r="D356">
        <v>0.86829693407592556</v>
      </c>
      <c r="E356">
        <v>6.1415177453926183E-2</v>
      </c>
    </row>
    <row r="357" spans="1:5">
      <c r="A357" t="s">
        <v>360</v>
      </c>
      <c r="C357">
        <v>7.0820084256740856E-2</v>
      </c>
      <c r="D357">
        <v>0.86828672504763149</v>
      </c>
      <c r="E357">
        <v>6.0893190695627659E-2</v>
      </c>
    </row>
    <row r="358" spans="1:5">
      <c r="A358" t="s">
        <v>361</v>
      </c>
      <c r="C358">
        <v>7.0474297351656112E-2</v>
      </c>
      <c r="D358">
        <v>0.86911581891831946</v>
      </c>
      <c r="E358">
        <v>6.0409883730024351E-2</v>
      </c>
    </row>
    <row r="359" spans="1:5">
      <c r="A359" t="s">
        <v>362</v>
      </c>
      <c r="C359">
        <v>7.0768560074005366E-2</v>
      </c>
      <c r="D359">
        <v>0.86903848633495817</v>
      </c>
      <c r="E359">
        <v>6.0192953591036352E-2</v>
      </c>
    </row>
    <row r="360" spans="1:5">
      <c r="A360" t="s">
        <v>363</v>
      </c>
      <c r="C360">
        <v>6.6995007509813451E-2</v>
      </c>
      <c r="D360">
        <v>0.87168187257338836</v>
      </c>
      <c r="E360">
        <v>6.1323119916798237E-2</v>
      </c>
    </row>
    <row r="361" spans="1:5">
      <c r="A361" t="s">
        <v>364</v>
      </c>
      <c r="C361">
        <v>6.7654568779943622E-2</v>
      </c>
      <c r="D361">
        <v>0.87353564428501107</v>
      </c>
      <c r="E361">
        <v>5.880978693504537E-2</v>
      </c>
    </row>
    <row r="362" spans="1:5">
      <c r="A362" t="s">
        <v>365</v>
      </c>
      <c r="C362">
        <v>6.6705050259718776E-2</v>
      </c>
      <c r="D362">
        <v>0.87329993659770799</v>
      </c>
      <c r="E362">
        <v>5.9995013142573238E-2</v>
      </c>
    </row>
    <row r="363" spans="1:5">
      <c r="A363" t="s">
        <v>366</v>
      </c>
      <c r="C363">
        <v>6.7005873214099634E-2</v>
      </c>
      <c r="D363">
        <v>0.87319572626819064</v>
      </c>
      <c r="E363">
        <v>5.9798400517709772E-2</v>
      </c>
    </row>
    <row r="364" spans="1:5">
      <c r="A364" t="s">
        <v>367</v>
      </c>
      <c r="C364">
        <v>6.6259609535423092E-2</v>
      </c>
      <c r="D364">
        <v>0.87433196095804699</v>
      </c>
      <c r="E364">
        <v>5.9408429506529879E-2</v>
      </c>
    </row>
    <row r="365" spans="1:5">
      <c r="A365" t="s">
        <v>368</v>
      </c>
      <c r="C365">
        <v>6.6238241011489993E-2</v>
      </c>
      <c r="D365">
        <v>0.87118474829812875</v>
      </c>
      <c r="E365">
        <v>6.2577010690381296E-2</v>
      </c>
    </row>
    <row r="366" spans="1:5">
      <c r="A366" t="s">
        <v>369</v>
      </c>
      <c r="C366">
        <v>6.5768088495548077E-2</v>
      </c>
      <c r="D366">
        <v>0.87023436400052567</v>
      </c>
      <c r="E366">
        <v>6.3997547503926291E-2</v>
      </c>
    </row>
    <row r="367" spans="1:5">
      <c r="A367" t="s">
        <v>370</v>
      </c>
      <c r="C367">
        <v>6.5708014898336012E-2</v>
      </c>
      <c r="D367">
        <v>0.86943947836740276</v>
      </c>
      <c r="E367">
        <v>6.4852506734261323E-2</v>
      </c>
    </row>
    <row r="368" spans="1:5">
      <c r="A368" t="s">
        <v>371</v>
      </c>
      <c r="C368">
        <v>6.5692506437544318E-2</v>
      </c>
      <c r="D368">
        <v>0.87067438029067057</v>
      </c>
      <c r="E368">
        <v>6.3633113271785044E-2</v>
      </c>
    </row>
    <row r="369" spans="1:5">
      <c r="A369" t="s">
        <v>372</v>
      </c>
      <c r="C369">
        <v>6.583295150862431E-2</v>
      </c>
      <c r="D369">
        <v>0.8709225821409704</v>
      </c>
      <c r="E369">
        <v>6.3244466350405273E-2</v>
      </c>
    </row>
    <row r="370" spans="1:5">
      <c r="A370" t="s">
        <v>373</v>
      </c>
      <c r="C370">
        <v>6.458661815140708E-2</v>
      </c>
      <c r="D370">
        <v>0.87250610365346881</v>
      </c>
      <c r="E370">
        <v>6.2907278195124053E-2</v>
      </c>
    </row>
    <row r="371" spans="1:5">
      <c r="A371" t="s">
        <v>374</v>
      </c>
      <c r="C371">
        <v>6.5202109814545259E-2</v>
      </c>
      <c r="D371">
        <v>0.87276454464014586</v>
      </c>
      <c r="E371">
        <v>6.2033345545308823E-2</v>
      </c>
    </row>
    <row r="372" spans="1:5">
      <c r="A372" t="s">
        <v>375</v>
      </c>
      <c r="C372">
        <v>6.4457883444382788E-2</v>
      </c>
      <c r="D372">
        <v>0.87389826610595667</v>
      </c>
      <c r="E372">
        <v>6.1643850449660649E-2</v>
      </c>
    </row>
    <row r="373" spans="1:5">
      <c r="A373" t="s">
        <v>376</v>
      </c>
      <c r="C373">
        <v>6.4477344277670837E-2</v>
      </c>
      <c r="D373">
        <v>0.87301536663090962</v>
      </c>
      <c r="E373">
        <v>6.2507289091419491E-2</v>
      </c>
    </row>
    <row r="374" spans="1:5">
      <c r="A374" t="s">
        <v>377</v>
      </c>
      <c r="C374">
        <v>6.4343263296339326E-2</v>
      </c>
      <c r="D374">
        <v>0.87190137573575344</v>
      </c>
      <c r="E374">
        <v>6.3755360967907293E-2</v>
      </c>
    </row>
    <row r="375" spans="1:5">
      <c r="A375" t="s">
        <v>378</v>
      </c>
      <c r="C375">
        <v>6.5075421846500517E-2</v>
      </c>
      <c r="D375">
        <v>0.87199750327972347</v>
      </c>
      <c r="E375">
        <v>6.2927074873775843E-2</v>
      </c>
    </row>
    <row r="376" spans="1:5">
      <c r="A376" t="s">
        <v>379</v>
      </c>
      <c r="C376">
        <v>6.7998332769712719E-2</v>
      </c>
      <c r="D376">
        <v>0.86927132505432725</v>
      </c>
      <c r="E376">
        <v>6.2730342175960144E-2</v>
      </c>
    </row>
    <row r="377" spans="1:5">
      <c r="A377" t="s">
        <v>380</v>
      </c>
      <c r="C377">
        <v>6.8180407995857631E-2</v>
      </c>
      <c r="D377">
        <v>0.86910150478612846</v>
      </c>
      <c r="E377">
        <v>6.2718087218013779E-2</v>
      </c>
    </row>
    <row r="378" spans="1:5">
      <c r="A378" t="s">
        <v>381</v>
      </c>
      <c r="C378">
        <v>6.8816700588792482E-2</v>
      </c>
      <c r="D378">
        <v>0.86973613912430503</v>
      </c>
      <c r="E378">
        <v>6.1447160286902523E-2</v>
      </c>
    </row>
    <row r="379" spans="1:5">
      <c r="A379" t="s">
        <v>382</v>
      </c>
      <c r="C379">
        <v>6.7810633396411094E-2</v>
      </c>
      <c r="D379">
        <v>0.8718271488373337</v>
      </c>
      <c r="E379">
        <v>6.0362217766255229E-2</v>
      </c>
    </row>
    <row r="380" spans="1:5">
      <c r="A380" t="s">
        <v>383</v>
      </c>
      <c r="C380">
        <v>6.6726312626367065E-2</v>
      </c>
      <c r="D380">
        <v>0.87300320175561807</v>
      </c>
      <c r="E380">
        <v>6.0270485618014923E-2</v>
      </c>
    </row>
    <row r="381" spans="1:5">
      <c r="A381" t="s">
        <v>384</v>
      </c>
      <c r="C381">
        <v>6.8851040891781734E-2</v>
      </c>
      <c r="D381">
        <v>0.87166447793834434</v>
      </c>
      <c r="E381">
        <v>5.9484481169874003E-2</v>
      </c>
    </row>
    <row r="382" spans="1:5">
      <c r="A382" t="s">
        <v>385</v>
      </c>
      <c r="C382">
        <v>7.1240929703252312E-2</v>
      </c>
      <c r="D382">
        <v>0.86927792524912761</v>
      </c>
      <c r="E382">
        <v>5.9481145047620011E-2</v>
      </c>
    </row>
    <row r="383" spans="1:5">
      <c r="A383" t="s">
        <v>386</v>
      </c>
      <c r="C383">
        <v>7.102737035319083E-2</v>
      </c>
      <c r="D383">
        <v>0.87006148315906939</v>
      </c>
      <c r="E383">
        <v>5.8911146487739777E-2</v>
      </c>
    </row>
    <row r="384" spans="1:5">
      <c r="A384" t="s">
        <v>387</v>
      </c>
      <c r="C384">
        <v>7.181791143507732E-2</v>
      </c>
      <c r="D384">
        <v>0.86963115800707225</v>
      </c>
      <c r="E384">
        <v>5.8550930557850399E-2</v>
      </c>
    </row>
    <row r="385" spans="1:5">
      <c r="A385" t="s">
        <v>388</v>
      </c>
      <c r="C385">
        <v>7.3818750331194963E-2</v>
      </c>
      <c r="D385">
        <v>0.86737543395299932</v>
      </c>
      <c r="E385">
        <v>5.880581571580569E-2</v>
      </c>
    </row>
    <row r="386" spans="1:5">
      <c r="A386" t="s">
        <v>389</v>
      </c>
      <c r="C386">
        <v>7.3703245441268286E-2</v>
      </c>
      <c r="D386">
        <v>0.86866008148956775</v>
      </c>
      <c r="E386">
        <v>5.7636673069164E-2</v>
      </c>
    </row>
    <row r="387" spans="1:5">
      <c r="A387" t="s">
        <v>390</v>
      </c>
      <c r="C387">
        <v>7.3991326565293891E-2</v>
      </c>
      <c r="D387">
        <v>0.86836023080364833</v>
      </c>
      <c r="E387">
        <v>5.7648442631057797E-2</v>
      </c>
    </row>
    <row r="388" spans="1:5">
      <c r="A388" t="s">
        <v>391</v>
      </c>
      <c r="C388">
        <v>7.4930146606268233E-2</v>
      </c>
      <c r="D388">
        <v>0.86750952141179194</v>
      </c>
      <c r="E388">
        <v>5.7560331981939793E-2</v>
      </c>
    </row>
    <row r="389" spans="1:5">
      <c r="A389" t="s">
        <v>392</v>
      </c>
      <c r="C389">
        <v>7.456409179634807E-2</v>
      </c>
      <c r="D389">
        <v>0.86765358256491498</v>
      </c>
      <c r="E389">
        <v>5.778232563873701E-2</v>
      </c>
    </row>
    <row r="390" spans="1:5">
      <c r="A390" t="s">
        <v>393</v>
      </c>
      <c r="C390">
        <v>7.3970603049945946E-2</v>
      </c>
      <c r="D390">
        <v>0.86872185008993985</v>
      </c>
      <c r="E390">
        <v>5.7307546860114272E-2</v>
      </c>
    </row>
    <row r="391" spans="1:5">
      <c r="A391" t="s">
        <v>394</v>
      </c>
      <c r="C391">
        <v>7.562041296259335E-2</v>
      </c>
      <c r="D391">
        <v>0.86523656012418237</v>
      </c>
      <c r="E391">
        <v>5.9143026913224317E-2</v>
      </c>
    </row>
    <row r="392" spans="1:5">
      <c r="A392" t="s">
        <v>395</v>
      </c>
      <c r="C392">
        <v>7.8020616037941026E-2</v>
      </c>
      <c r="D392">
        <v>0.86401620453339034</v>
      </c>
      <c r="E392">
        <v>5.7963179428668618E-2</v>
      </c>
    </row>
    <row r="393" spans="1:5">
      <c r="A393" t="s">
        <v>396</v>
      </c>
      <c r="C393">
        <v>7.8928527333027937E-2</v>
      </c>
      <c r="D393">
        <v>0.86158387642322343</v>
      </c>
      <c r="E393">
        <v>5.9487596243748629E-2</v>
      </c>
    </row>
    <row r="394" spans="1:5">
      <c r="A394" t="s">
        <v>397</v>
      </c>
      <c r="C394">
        <v>7.8016481110880942E-2</v>
      </c>
      <c r="D394">
        <v>0.86346000073959017</v>
      </c>
      <c r="E394">
        <v>5.8523518149528893E-2</v>
      </c>
    </row>
    <row r="395" spans="1:5">
      <c r="A395" t="s">
        <v>398</v>
      </c>
      <c r="C395">
        <v>7.8395626936291887E-2</v>
      </c>
      <c r="D395">
        <v>0.86213280923259317</v>
      </c>
      <c r="E395">
        <v>5.9471563831115022E-2</v>
      </c>
    </row>
    <row r="396" spans="1:5">
      <c r="A396" t="s">
        <v>399</v>
      </c>
      <c r="C396">
        <v>7.9435367117095437E-2</v>
      </c>
      <c r="D396">
        <v>0.86148035380314314</v>
      </c>
      <c r="E396">
        <v>5.9084279079761368E-2</v>
      </c>
    </row>
    <row r="397" spans="1:5">
      <c r="A397" t="s">
        <v>400</v>
      </c>
      <c r="C397">
        <v>7.9081077656399656E-2</v>
      </c>
      <c r="D397">
        <v>0.86108150982614562</v>
      </c>
      <c r="E397">
        <v>5.9837412517454808E-2</v>
      </c>
    </row>
    <row r="398" spans="1:5">
      <c r="A398" t="s">
        <v>401</v>
      </c>
      <c r="C398">
        <v>7.8636963662940637E-2</v>
      </c>
      <c r="D398">
        <v>0.86138111809236617</v>
      </c>
      <c r="E398">
        <v>5.9981918244693309E-2</v>
      </c>
    </row>
    <row r="399" spans="1:5">
      <c r="A399" t="s">
        <v>402</v>
      </c>
      <c r="C399">
        <v>7.8903682373242828E-2</v>
      </c>
      <c r="D399">
        <v>0.86176668977057191</v>
      </c>
      <c r="E399">
        <v>5.9329627856185209E-2</v>
      </c>
    </row>
    <row r="400" spans="1:5">
      <c r="A400" t="s">
        <v>403</v>
      </c>
      <c r="C400">
        <v>7.770068039814812E-2</v>
      </c>
      <c r="D400">
        <v>0.86359336893118255</v>
      </c>
      <c r="E400">
        <v>5.8705950670669353E-2</v>
      </c>
    </row>
    <row r="401" spans="1:5">
      <c r="A401" t="s">
        <v>404</v>
      </c>
      <c r="C401">
        <v>7.8777040214239966E-2</v>
      </c>
      <c r="D401">
        <v>0.8617698172187076</v>
      </c>
      <c r="E401">
        <v>5.9453142567052447E-2</v>
      </c>
    </row>
    <row r="402" spans="1:5">
      <c r="A402" t="s">
        <v>405</v>
      </c>
      <c r="C402">
        <v>7.7945715775508503E-2</v>
      </c>
      <c r="D402">
        <v>0.86315079711746356</v>
      </c>
      <c r="E402">
        <v>5.8903487107027953E-2</v>
      </c>
    </row>
    <row r="403" spans="1:5">
      <c r="A403" t="s">
        <v>406</v>
      </c>
      <c r="C403">
        <v>7.5926159015374486E-2</v>
      </c>
      <c r="D403">
        <v>0.86568062019667191</v>
      </c>
      <c r="E403">
        <v>5.8393220787953747E-2</v>
      </c>
    </row>
    <row r="404" spans="1:5">
      <c r="A404" t="s">
        <v>407</v>
      </c>
      <c r="C404">
        <v>7.6209304586443788E-2</v>
      </c>
      <c r="D404">
        <v>0.8651797132893122</v>
      </c>
      <c r="E404">
        <v>5.8610982124244093E-2</v>
      </c>
    </row>
    <row r="405" spans="1:5">
      <c r="A405" t="s">
        <v>408</v>
      </c>
      <c r="C405">
        <v>7.6802337290675912E-2</v>
      </c>
      <c r="D405">
        <v>0.86321484398111803</v>
      </c>
      <c r="E405">
        <v>5.998281872820594E-2</v>
      </c>
    </row>
    <row r="406" spans="1:5">
      <c r="A406" t="s">
        <v>409</v>
      </c>
      <c r="C406">
        <v>7.7718963948231953E-2</v>
      </c>
      <c r="D406">
        <v>0.86275960821411779</v>
      </c>
      <c r="E406">
        <v>5.9521427837650118E-2</v>
      </c>
    </row>
    <row r="407" spans="1:5">
      <c r="A407" t="s">
        <v>410</v>
      </c>
      <c r="C407">
        <v>7.7112856698083598E-2</v>
      </c>
      <c r="D407">
        <v>0.86229484372714993</v>
      </c>
      <c r="E407">
        <v>6.0592299574766438E-2</v>
      </c>
    </row>
    <row r="408" spans="1:5">
      <c r="A408" t="s">
        <v>411</v>
      </c>
      <c r="C408">
        <v>7.6608015335215413E-2</v>
      </c>
      <c r="D408">
        <v>0.86296395440145379</v>
      </c>
      <c r="E408">
        <v>6.0428030263330823E-2</v>
      </c>
    </row>
    <row r="409" spans="1:5">
      <c r="A409" t="s">
        <v>412</v>
      </c>
      <c r="C409">
        <v>7.661876919057671E-2</v>
      </c>
      <c r="D409">
        <v>0.86079387264349705</v>
      </c>
      <c r="E409">
        <v>6.2587358165926227E-2</v>
      </c>
    </row>
    <row r="410" spans="1:5">
      <c r="A410" t="s">
        <v>413</v>
      </c>
      <c r="C410">
        <v>7.6168765758980655E-2</v>
      </c>
      <c r="D410">
        <v>0.86316647270152191</v>
      </c>
      <c r="E410">
        <v>6.0664761539497548E-2</v>
      </c>
    </row>
    <row r="411" spans="1:5">
      <c r="A411" t="s">
        <v>414</v>
      </c>
      <c r="C411">
        <v>7.6894032530407774E-2</v>
      </c>
      <c r="D411">
        <v>0.86355077140312431</v>
      </c>
      <c r="E411">
        <v>5.9555196066467961E-2</v>
      </c>
    </row>
    <row r="412" spans="1:5">
      <c r="A412" t="s">
        <v>415</v>
      </c>
      <c r="C412">
        <v>7.6801712775902115E-2</v>
      </c>
      <c r="D412">
        <v>0.86433687188362895</v>
      </c>
      <c r="E412">
        <v>5.886141534046898E-2</v>
      </c>
    </row>
    <row r="413" spans="1:5">
      <c r="A413" t="s">
        <v>416</v>
      </c>
      <c r="C413">
        <v>7.6575251257545621E-2</v>
      </c>
      <c r="D413">
        <v>0.86432934068944534</v>
      </c>
      <c r="E413">
        <v>5.9095408053009051E-2</v>
      </c>
    </row>
    <row r="414" spans="1:5">
      <c r="A414" t="s">
        <v>417</v>
      </c>
      <c r="C414">
        <v>7.5225480678657405E-2</v>
      </c>
      <c r="D414">
        <v>0.8646268671438645</v>
      </c>
      <c r="E414">
        <v>6.0147652177478132E-2</v>
      </c>
    </row>
    <row r="415" spans="1:5">
      <c r="A415" t="s">
        <v>418</v>
      </c>
      <c r="C415">
        <v>7.4927859555058859E-2</v>
      </c>
      <c r="D415">
        <v>0.86516521715810746</v>
      </c>
      <c r="E415">
        <v>5.990692328683371E-2</v>
      </c>
    </row>
    <row r="416" spans="1:5">
      <c r="A416" t="s">
        <v>419</v>
      </c>
      <c r="C416">
        <v>7.4884452386021844E-2</v>
      </c>
      <c r="D416">
        <v>0.86607875587332961</v>
      </c>
      <c r="E416">
        <v>5.9036791740648603E-2</v>
      </c>
    </row>
    <row r="417" spans="1:5">
      <c r="A417" t="s">
        <v>420</v>
      </c>
      <c r="C417">
        <v>7.5791635724177034E-2</v>
      </c>
      <c r="D417">
        <v>0.86696006337107012</v>
      </c>
      <c r="E417">
        <v>5.7248300904752802E-2</v>
      </c>
    </row>
    <row r="418" spans="1:5">
      <c r="A418" t="s">
        <v>421</v>
      </c>
      <c r="C418">
        <v>7.5008999949948071E-2</v>
      </c>
      <c r="D418">
        <v>0.87022278952262466</v>
      </c>
      <c r="E418">
        <v>5.4768210527427329E-2</v>
      </c>
    </row>
    <row r="419" spans="1:5">
      <c r="A419" t="s">
        <v>422</v>
      </c>
      <c r="C419">
        <v>7.4451737327998688E-2</v>
      </c>
      <c r="D419">
        <v>0.87355131340312497</v>
      </c>
      <c r="E419">
        <v>5.1996949268876498E-2</v>
      </c>
    </row>
    <row r="420" spans="1:5">
      <c r="A420" t="s">
        <v>423</v>
      </c>
      <c r="C420">
        <v>7.5202813209843455E-2</v>
      </c>
      <c r="D420">
        <v>0.87445020183079558</v>
      </c>
      <c r="E420">
        <v>5.0346984959361102E-2</v>
      </c>
    </row>
    <row r="421" spans="1:5">
      <c r="A421" t="s">
        <v>424</v>
      </c>
      <c r="C421">
        <v>7.835664758034884E-2</v>
      </c>
      <c r="D421">
        <v>0.8702078604712703</v>
      </c>
      <c r="E421">
        <v>5.1435491948380901E-2</v>
      </c>
    </row>
    <row r="422" spans="1:5">
      <c r="A422" t="s">
        <v>425</v>
      </c>
      <c r="C422">
        <v>7.6158000947112628E-2</v>
      </c>
      <c r="D422">
        <v>0.87282147563348444</v>
      </c>
      <c r="E422">
        <v>5.102052341940292E-2</v>
      </c>
    </row>
    <row r="423" spans="1:5">
      <c r="A423" t="s">
        <v>426</v>
      </c>
      <c r="C423">
        <v>7.4768873495522026E-2</v>
      </c>
      <c r="D423">
        <v>0.87413529842603033</v>
      </c>
      <c r="E423">
        <v>5.1095828078447522E-2</v>
      </c>
    </row>
    <row r="424" spans="1:5">
      <c r="A424" t="s">
        <v>427</v>
      </c>
      <c r="C424">
        <v>7.4814579369538475E-2</v>
      </c>
      <c r="D424">
        <v>0.87590914745482329</v>
      </c>
      <c r="E424">
        <v>4.9276273175638173E-2</v>
      </c>
    </row>
    <row r="425" spans="1:5">
      <c r="A425" t="s">
        <v>428</v>
      </c>
      <c r="C425">
        <v>7.4902528954286077E-2</v>
      </c>
      <c r="D425">
        <v>0.87737174902136617</v>
      </c>
      <c r="E425">
        <v>4.7725722024347737E-2</v>
      </c>
    </row>
    <row r="426" spans="1:5">
      <c r="A426" t="s">
        <v>429</v>
      </c>
      <c r="C426">
        <v>7.344840356575312E-2</v>
      </c>
      <c r="D426">
        <v>0.87850300194065623</v>
      </c>
      <c r="E426">
        <v>4.8048594493590772E-2</v>
      </c>
    </row>
    <row r="427" spans="1:5">
      <c r="A427" t="s">
        <v>430</v>
      </c>
      <c r="C427">
        <v>7.244569066664025E-2</v>
      </c>
      <c r="D427">
        <v>0.88039854008759399</v>
      </c>
      <c r="E427">
        <v>4.7155769245765852E-2</v>
      </c>
    </row>
    <row r="428" spans="1:5">
      <c r="A428" t="s">
        <v>431</v>
      </c>
      <c r="B428">
        <v>6.0389792732424251E-2</v>
      </c>
      <c r="C428">
        <v>7.2760250608090118E-2</v>
      </c>
      <c r="D428">
        <v>0.86684995665948561</v>
      </c>
    </row>
    <row r="429" spans="1:5">
      <c r="A429" t="s">
        <v>432</v>
      </c>
      <c r="B429">
        <v>6.0571624439919973E-2</v>
      </c>
      <c r="C429">
        <v>7.0549607146246626E-2</v>
      </c>
      <c r="D429">
        <v>0.86887876841383338</v>
      </c>
    </row>
    <row r="430" spans="1:5">
      <c r="A430" t="s">
        <v>433</v>
      </c>
      <c r="B430">
        <v>6.3461043308747828E-2</v>
      </c>
      <c r="C430">
        <v>6.8939276753223019E-2</v>
      </c>
      <c r="D430">
        <v>0.86759967993802922</v>
      </c>
    </row>
    <row r="431" spans="1:5">
      <c r="A431" t="s">
        <v>434</v>
      </c>
      <c r="B431">
        <v>6.1026723487144108E-2</v>
      </c>
      <c r="C431">
        <v>6.6572173761552417E-2</v>
      </c>
      <c r="D431">
        <v>0.87240110275130345</v>
      </c>
    </row>
    <row r="432" spans="1:5">
      <c r="A432" t="s">
        <v>435</v>
      </c>
      <c r="B432">
        <v>6.0855461869126042E-2</v>
      </c>
      <c r="C432">
        <v>6.5038529449367583E-2</v>
      </c>
      <c r="D432">
        <v>0.87410600868150645</v>
      </c>
    </row>
    <row r="433" spans="1:4">
      <c r="A433" t="s">
        <v>436</v>
      </c>
      <c r="B433">
        <v>6.0384435276730757E-2</v>
      </c>
      <c r="C433">
        <v>6.901176633673653E-2</v>
      </c>
      <c r="D433">
        <v>0.87060379838653279</v>
      </c>
    </row>
    <row r="434" spans="1:4">
      <c r="A434" t="s">
        <v>437</v>
      </c>
      <c r="B434">
        <v>6.0113175976637977E-2</v>
      </c>
      <c r="C434">
        <v>7.159612677345463E-2</v>
      </c>
      <c r="D434">
        <v>0.86829069724990737</v>
      </c>
    </row>
    <row r="435" spans="1:4">
      <c r="A435" t="s">
        <v>438</v>
      </c>
      <c r="B435">
        <v>5.9719096986473763E-2</v>
      </c>
      <c r="C435">
        <v>7.3714463612631273E-2</v>
      </c>
      <c r="D435">
        <v>0.86656643940089495</v>
      </c>
    </row>
    <row r="436" spans="1:4">
      <c r="A436" t="s">
        <v>439</v>
      </c>
      <c r="B436">
        <v>5.9986362625417268E-2</v>
      </c>
      <c r="C436">
        <v>7.3835869611003649E-2</v>
      </c>
      <c r="D436">
        <v>0.86617776776357913</v>
      </c>
    </row>
    <row r="437" spans="1:4">
      <c r="A437" t="s">
        <v>440</v>
      </c>
      <c r="B437">
        <v>6.063049043915153E-2</v>
      </c>
      <c r="C437">
        <v>7.5721601193016741E-2</v>
      </c>
      <c r="D437">
        <v>0.86364790836783178</v>
      </c>
    </row>
    <row r="438" spans="1:4">
      <c r="A438" t="s">
        <v>441</v>
      </c>
      <c r="B438">
        <v>6.0496006997454929E-2</v>
      </c>
      <c r="C438">
        <v>7.5200438651149074E-2</v>
      </c>
      <c r="D438">
        <v>0.86430355435139605</v>
      </c>
    </row>
    <row r="439" spans="1:4">
      <c r="A439" t="s">
        <v>442</v>
      </c>
      <c r="B439">
        <v>6.2597760793584548E-2</v>
      </c>
      <c r="C439">
        <v>7.5754612420508835E-2</v>
      </c>
      <c r="D439">
        <v>0.86164762678590667</v>
      </c>
    </row>
    <row r="440" spans="1:4">
      <c r="A440" t="s">
        <v>443</v>
      </c>
      <c r="B440">
        <v>6.2987452973692057E-2</v>
      </c>
      <c r="C440">
        <v>7.6948955301379865E-2</v>
      </c>
      <c r="D440">
        <v>0.86006359172492808</v>
      </c>
    </row>
    <row r="441" spans="1:4">
      <c r="A441" t="s">
        <v>444</v>
      </c>
      <c r="B441">
        <v>6.0909142611653658E-2</v>
      </c>
      <c r="C441">
        <v>7.8481465724967905E-2</v>
      </c>
      <c r="D441">
        <v>0.86060939166337846</v>
      </c>
    </row>
    <row r="442" spans="1:4">
      <c r="A442" t="s">
        <v>445</v>
      </c>
      <c r="B442">
        <v>5.8168074683026642E-2</v>
      </c>
      <c r="C442">
        <v>7.926505097136767E-2</v>
      </c>
      <c r="D442">
        <v>0.86256687434560575</v>
      </c>
    </row>
    <row r="443" spans="1:4">
      <c r="A443" t="s">
        <v>446</v>
      </c>
      <c r="B443">
        <v>5.7597419443185492E-2</v>
      </c>
      <c r="C443">
        <v>7.8302263252398266E-2</v>
      </c>
      <c r="D443">
        <v>0.86410031730441628</v>
      </c>
    </row>
    <row r="444" spans="1:4">
      <c r="A444" t="s">
        <v>447</v>
      </c>
      <c r="B444">
        <v>5.6718922370389023E-2</v>
      </c>
      <c r="C444">
        <v>7.6230642276828298E-2</v>
      </c>
      <c r="D444">
        <v>0.86705043535278259</v>
      </c>
    </row>
    <row r="445" spans="1:4">
      <c r="A445" t="s">
        <v>448</v>
      </c>
      <c r="B445">
        <v>5.6574475009246283E-2</v>
      </c>
      <c r="C445">
        <v>7.4374298015268028E-2</v>
      </c>
      <c r="D445">
        <v>0.86905122697548565</v>
      </c>
    </row>
    <row r="446" spans="1:4">
      <c r="A446" t="s">
        <v>449</v>
      </c>
      <c r="B446">
        <v>5.7580575950464417E-2</v>
      </c>
      <c r="C446">
        <v>7.72615862287203E-2</v>
      </c>
      <c r="D446">
        <v>0.86515783782081535</v>
      </c>
    </row>
    <row r="447" spans="1:4">
      <c r="A447" t="s">
        <v>450</v>
      </c>
      <c r="B447">
        <v>5.8007568684779437E-2</v>
      </c>
      <c r="C447">
        <v>7.7270660656340986E-2</v>
      </c>
      <c r="D447">
        <v>0.86472177065887967</v>
      </c>
    </row>
    <row r="448" spans="1:4">
      <c r="A448" t="s">
        <v>451</v>
      </c>
      <c r="B448">
        <v>5.7522314119350722E-2</v>
      </c>
      <c r="C448">
        <v>7.6403982919743998E-2</v>
      </c>
      <c r="D448">
        <v>0.86607370296090525</v>
      </c>
    </row>
    <row r="449" spans="1:4">
      <c r="A449" t="s">
        <v>452</v>
      </c>
      <c r="B449">
        <v>5.7862512138844267E-2</v>
      </c>
      <c r="C449">
        <v>7.7227768050807E-2</v>
      </c>
      <c r="D449">
        <v>0.86490971981034881</v>
      </c>
    </row>
    <row r="450" spans="1:4">
      <c r="A450" t="s">
        <v>453</v>
      </c>
      <c r="B450">
        <v>5.7699194171867307E-2</v>
      </c>
      <c r="C450">
        <v>7.6866577239992032E-2</v>
      </c>
      <c r="D450">
        <v>0.86543422858814056</v>
      </c>
    </row>
    <row r="451" spans="1:4">
      <c r="A451" t="s">
        <v>454</v>
      </c>
      <c r="B451">
        <v>5.700258074333471E-2</v>
      </c>
      <c r="C451">
        <v>7.7724672770283082E-2</v>
      </c>
      <c r="D451">
        <v>0.86527274648638219</v>
      </c>
    </row>
    <row r="452" spans="1:4">
      <c r="A452" t="s">
        <v>455</v>
      </c>
      <c r="B452">
        <v>5.698607894019582E-2</v>
      </c>
      <c r="C452">
        <v>7.8744629423227561E-2</v>
      </c>
      <c r="D452">
        <v>0.86426929163657662</v>
      </c>
    </row>
    <row r="453" spans="1:4">
      <c r="A453" t="s">
        <v>456</v>
      </c>
      <c r="B453">
        <v>5.6155170077985823E-2</v>
      </c>
      <c r="C453">
        <v>7.7106857706327414E-2</v>
      </c>
      <c r="D453">
        <v>0.86673797221568671</v>
      </c>
    </row>
    <row r="454" spans="1:4">
      <c r="A454" t="s">
        <v>457</v>
      </c>
      <c r="B454">
        <v>5.5394963216249968E-2</v>
      </c>
      <c r="C454">
        <v>7.4972836838651788E-2</v>
      </c>
      <c r="D454">
        <v>0.86963219994509822</v>
      </c>
    </row>
    <row r="455" spans="1:4">
      <c r="A455" t="s">
        <v>458</v>
      </c>
      <c r="B455">
        <v>5.5817249302457711E-2</v>
      </c>
      <c r="C455">
        <v>7.5099503583528293E-2</v>
      </c>
      <c r="D455">
        <v>0.86908324711401397</v>
      </c>
    </row>
    <row r="456" spans="1:4">
      <c r="A456" t="s">
        <v>459</v>
      </c>
      <c r="B456">
        <v>5.5946865397353357E-2</v>
      </c>
      <c r="C456">
        <v>7.5281949805507065E-2</v>
      </c>
      <c r="D456">
        <v>0.86877118479713955</v>
      </c>
    </row>
    <row r="457" spans="1:4">
      <c r="A457" t="s">
        <v>460</v>
      </c>
      <c r="B457">
        <v>5.7208162585979917E-2</v>
      </c>
      <c r="C457">
        <v>7.4500280195617247E-2</v>
      </c>
      <c r="D457">
        <v>0.8682915572184029</v>
      </c>
    </row>
    <row r="458" spans="1:4">
      <c r="A458" t="s">
        <v>461</v>
      </c>
      <c r="B458">
        <v>5.643156168641178E-2</v>
      </c>
      <c r="C458">
        <v>7.4524434347800844E-2</v>
      </c>
      <c r="D458">
        <v>0.8690440039657874</v>
      </c>
    </row>
    <row r="459" spans="1:4">
      <c r="A459" t="s">
        <v>462</v>
      </c>
      <c r="B459">
        <v>5.6762789102900307E-2</v>
      </c>
      <c r="C459">
        <v>7.34601964213389E-2</v>
      </c>
      <c r="D459">
        <v>0.86977701447576083</v>
      </c>
    </row>
    <row r="460" spans="1:4">
      <c r="A460" t="s">
        <v>463</v>
      </c>
      <c r="B460">
        <v>5.6374855064344823E-2</v>
      </c>
      <c r="C460">
        <v>7.1269760165705437E-2</v>
      </c>
      <c r="D460">
        <v>0.87235538476994967</v>
      </c>
    </row>
    <row r="461" spans="1:4">
      <c r="A461" t="s">
        <v>464</v>
      </c>
      <c r="B461">
        <v>5.7384842148711673E-2</v>
      </c>
      <c r="C461">
        <v>7.2411638810891868E-2</v>
      </c>
      <c r="D461">
        <v>0.8702035190403965</v>
      </c>
    </row>
    <row r="462" spans="1:4">
      <c r="A462" t="s">
        <v>465</v>
      </c>
      <c r="B462">
        <v>5.7313152794032561E-2</v>
      </c>
      <c r="C462">
        <v>7.3829939611541662E-2</v>
      </c>
      <c r="D462">
        <v>0.86885690759442569</v>
      </c>
    </row>
    <row r="463" spans="1:4">
      <c r="A463" t="s">
        <v>466</v>
      </c>
      <c r="B463">
        <v>5.6667270158104362E-2</v>
      </c>
      <c r="C463">
        <v>7.2024468501671546E-2</v>
      </c>
      <c r="D463">
        <v>0.87130826134022399</v>
      </c>
    </row>
    <row r="464" spans="1:4">
      <c r="A464" t="s">
        <v>467</v>
      </c>
      <c r="B464">
        <v>6.0169626199424973E-2</v>
      </c>
      <c r="C464">
        <v>7.2116490532136576E-2</v>
      </c>
      <c r="D464">
        <v>0.86771388326843835</v>
      </c>
    </row>
    <row r="465" spans="1:4">
      <c r="A465" t="s">
        <v>468</v>
      </c>
      <c r="B465">
        <v>6.0356469053263279E-2</v>
      </c>
      <c r="C465">
        <v>7.1170111178753867E-2</v>
      </c>
      <c r="D465">
        <v>0.86847341976798298</v>
      </c>
    </row>
    <row r="466" spans="1:4">
      <c r="A466" t="s">
        <v>469</v>
      </c>
      <c r="B466">
        <v>5.9990567504832053E-2</v>
      </c>
      <c r="C466">
        <v>7.1751470433991993E-2</v>
      </c>
      <c r="D466">
        <v>0.86825796206117589</v>
      </c>
    </row>
    <row r="467" spans="1:4">
      <c r="A467" t="s">
        <v>470</v>
      </c>
      <c r="B467">
        <v>6.0255494059093181E-2</v>
      </c>
      <c r="C467">
        <v>7.2399322872260197E-2</v>
      </c>
      <c r="D467">
        <v>0.86734518306864672</v>
      </c>
    </row>
    <row r="468" spans="1:4">
      <c r="A468" t="s">
        <v>471</v>
      </c>
      <c r="B468">
        <v>5.8546301306454912E-2</v>
      </c>
      <c r="C468">
        <v>7.2568122664839821E-2</v>
      </c>
      <c r="D468">
        <v>0.8688855760287052</v>
      </c>
    </row>
    <row r="469" spans="1:4">
      <c r="A469" t="s">
        <v>472</v>
      </c>
      <c r="B469">
        <v>5.7334053221854718E-2</v>
      </c>
      <c r="C469">
        <v>7.1373184569572354E-2</v>
      </c>
      <c r="D469">
        <v>0.87129276220857288</v>
      </c>
    </row>
    <row r="470" spans="1:4">
      <c r="A470" t="s">
        <v>473</v>
      </c>
      <c r="B470">
        <v>5.7340762223888432E-2</v>
      </c>
      <c r="C470">
        <v>7.2900285725915059E-2</v>
      </c>
      <c r="D470">
        <v>0.86975895205019649</v>
      </c>
    </row>
    <row r="471" spans="1:4">
      <c r="A471" t="s">
        <v>474</v>
      </c>
      <c r="B471">
        <v>5.6371615305428321E-2</v>
      </c>
      <c r="C471">
        <v>7.1431396963795329E-2</v>
      </c>
      <c r="D471">
        <v>0.87219698773077625</v>
      </c>
    </row>
    <row r="472" spans="1:4">
      <c r="A472" t="s">
        <v>475</v>
      </c>
      <c r="B472">
        <v>5.6548562466862039E-2</v>
      </c>
      <c r="C472">
        <v>7.1042025657633276E-2</v>
      </c>
      <c r="D472">
        <v>0.87240941187550469</v>
      </c>
    </row>
    <row r="473" spans="1:4">
      <c r="A473" t="s">
        <v>476</v>
      </c>
      <c r="B473">
        <v>5.580433241743786E-2</v>
      </c>
      <c r="C473">
        <v>7.094275866517398E-2</v>
      </c>
      <c r="D473">
        <v>0.87325290891738816</v>
      </c>
    </row>
    <row r="474" spans="1:4">
      <c r="A474" t="s">
        <v>477</v>
      </c>
      <c r="B474">
        <v>5.5993129000148398E-2</v>
      </c>
      <c r="C474">
        <v>7.0663424968393548E-2</v>
      </c>
      <c r="D474">
        <v>0.87334344603145797</v>
      </c>
    </row>
    <row r="475" spans="1:4">
      <c r="A475" t="s">
        <v>478</v>
      </c>
      <c r="B475">
        <v>5.5350256960692297E-2</v>
      </c>
      <c r="C475">
        <v>7.0350709299483519E-2</v>
      </c>
      <c r="D475">
        <v>0.87429903373982409</v>
      </c>
    </row>
    <row r="476" spans="1:4">
      <c r="A476" t="s">
        <v>479</v>
      </c>
      <c r="B476">
        <v>5.4905445465255297E-2</v>
      </c>
      <c r="C476">
        <v>7.0161756000797104E-2</v>
      </c>
      <c r="D476">
        <v>0.87493279853394756</v>
      </c>
    </row>
    <row r="477" spans="1:4">
      <c r="A477" t="s">
        <v>480</v>
      </c>
      <c r="B477">
        <v>5.497265320109572E-2</v>
      </c>
      <c r="C477">
        <v>7.0006744430909956E-2</v>
      </c>
      <c r="D477">
        <v>0.87502060236799428</v>
      </c>
    </row>
    <row r="478" spans="1:4">
      <c r="A478" t="s">
        <v>481</v>
      </c>
      <c r="B478">
        <v>5.6037568072880427E-2</v>
      </c>
      <c r="C478">
        <v>7.1573419974155367E-2</v>
      </c>
      <c r="D478">
        <v>0.87238901195296426</v>
      </c>
    </row>
    <row r="479" spans="1:4">
      <c r="A479" t="s">
        <v>482</v>
      </c>
      <c r="B479">
        <v>5.7205610448987712E-2</v>
      </c>
      <c r="C479">
        <v>7.0633524686065555E-2</v>
      </c>
      <c r="D479">
        <v>0.87216086486494671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1FA8-204A-42EE-8D6B-06C9544BFE13}">
  <sheetPr codeName="工作表3"/>
  <dimension ref="A1:F386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80" sqref="D380"/>
    </sheetView>
  </sheetViews>
  <sheetFormatPr baseColWidth="10" defaultColWidth="9" defaultRowHeight="14"/>
  <cols>
    <col min="1" max="1" width="11.59765625" style="5" bestFit="1" customWidth="1"/>
    <col min="2" max="5" width="9" style="3"/>
  </cols>
  <sheetData>
    <row r="1" spans="1:6">
      <c r="A1" s="8" t="s">
        <v>0</v>
      </c>
      <c r="B1" s="3">
        <v>2308</v>
      </c>
      <c r="C1" s="3">
        <v>2317</v>
      </c>
      <c r="D1" s="3">
        <v>2330</v>
      </c>
      <c r="E1" s="3">
        <v>2454</v>
      </c>
      <c r="F1" s="2"/>
    </row>
    <row r="2" spans="1:6">
      <c r="A2" s="5">
        <v>45294</v>
      </c>
    </row>
    <row r="3" spans="1:6">
      <c r="A3" s="6">
        <v>45295</v>
      </c>
      <c r="B3" s="4"/>
      <c r="C3" s="4"/>
      <c r="D3" s="4"/>
      <c r="E3" s="4">
        <v>24.6</v>
      </c>
    </row>
    <row r="4" spans="1:6">
      <c r="A4" s="5">
        <v>45299</v>
      </c>
    </row>
    <row r="5" spans="1:6">
      <c r="A5" s="5">
        <v>45302</v>
      </c>
    </row>
    <row r="6" spans="1:6">
      <c r="A6" s="5">
        <v>45306</v>
      </c>
    </row>
    <row r="7" spans="1:6">
      <c r="A7" s="5">
        <v>45307</v>
      </c>
    </row>
    <row r="8" spans="1:6">
      <c r="A8" s="5">
        <v>45308</v>
      </c>
    </row>
    <row r="9" spans="1:6">
      <c r="A9" s="5">
        <v>45309</v>
      </c>
    </row>
    <row r="10" spans="1:6">
      <c r="A10" s="5">
        <v>45310</v>
      </c>
    </row>
    <row r="11" spans="1:6">
      <c r="A11" s="5">
        <v>45313</v>
      </c>
    </row>
    <row r="12" spans="1:6">
      <c r="A12" s="5">
        <v>45316</v>
      </c>
    </row>
    <row r="13" spans="1:6">
      <c r="A13" s="5">
        <v>45344</v>
      </c>
    </row>
    <row r="14" spans="1:6">
      <c r="A14" s="5">
        <v>45348</v>
      </c>
    </row>
    <row r="15" spans="1:6">
      <c r="A15" s="5">
        <v>45349</v>
      </c>
    </row>
    <row r="16" spans="1:6">
      <c r="A16" s="5">
        <v>45351</v>
      </c>
    </row>
    <row r="17" spans="1:4">
      <c r="A17" s="5">
        <v>45352</v>
      </c>
    </row>
    <row r="18" spans="1:4">
      <c r="A18" s="5">
        <v>45355</v>
      </c>
    </row>
    <row r="19" spans="1:4">
      <c r="A19" s="5">
        <v>45358</v>
      </c>
    </row>
    <row r="20" spans="1:4">
      <c r="A20" s="5">
        <v>45362</v>
      </c>
    </row>
    <row r="21" spans="1:4">
      <c r="A21" s="5">
        <v>45364</v>
      </c>
    </row>
    <row r="22" spans="1:4">
      <c r="A22" s="5">
        <v>45365</v>
      </c>
    </row>
    <row r="23" spans="1:4">
      <c r="A23" s="5">
        <v>45369</v>
      </c>
      <c r="D23" s="3">
        <v>3.4997896900000001</v>
      </c>
    </row>
    <row r="24" spans="1:4">
      <c r="A24" s="5">
        <v>45370</v>
      </c>
    </row>
    <row r="25" spans="1:4">
      <c r="A25" s="5">
        <v>45371</v>
      </c>
    </row>
    <row r="26" spans="1:4">
      <c r="A26" s="5">
        <v>45372</v>
      </c>
    </row>
    <row r="27" spans="1:4">
      <c r="A27" s="5">
        <v>45373</v>
      </c>
    </row>
    <row r="28" spans="1:4">
      <c r="A28" s="5">
        <v>45376</v>
      </c>
    </row>
    <row r="29" spans="1:4">
      <c r="A29" s="5">
        <v>45377</v>
      </c>
    </row>
    <row r="30" spans="1:4">
      <c r="A30" s="5">
        <v>45378</v>
      </c>
    </row>
    <row r="31" spans="1:4">
      <c r="A31" s="5">
        <v>45379</v>
      </c>
    </row>
    <row r="32" spans="1:4">
      <c r="A32" s="5">
        <v>45380</v>
      </c>
    </row>
    <row r="33" spans="1:1">
      <c r="A33" s="5">
        <v>45383</v>
      </c>
    </row>
    <row r="34" spans="1:1">
      <c r="A34" s="5">
        <v>45384</v>
      </c>
    </row>
    <row r="35" spans="1:1">
      <c r="A35" s="5">
        <v>45385</v>
      </c>
    </row>
    <row r="36" spans="1:1">
      <c r="A36" s="5">
        <v>45390</v>
      </c>
    </row>
    <row r="37" spans="1:1">
      <c r="A37" s="5">
        <v>45392</v>
      </c>
    </row>
    <row r="38" spans="1:1">
      <c r="A38" s="5">
        <v>45393</v>
      </c>
    </row>
    <row r="39" spans="1:1">
      <c r="A39" s="5">
        <v>45394</v>
      </c>
    </row>
    <row r="40" spans="1:1">
      <c r="A40" s="5">
        <v>45399</v>
      </c>
    </row>
    <row r="41" spans="1:1">
      <c r="A41" s="5">
        <v>45400</v>
      </c>
    </row>
    <row r="42" spans="1:1">
      <c r="A42" s="5">
        <v>45401</v>
      </c>
    </row>
    <row r="43" spans="1:1">
      <c r="A43" s="5">
        <v>45404</v>
      </c>
    </row>
    <row r="44" spans="1:1">
      <c r="A44" s="5">
        <v>45405</v>
      </c>
    </row>
    <row r="45" spans="1:1">
      <c r="A45" s="5">
        <v>45407</v>
      </c>
    </row>
    <row r="46" spans="1:1">
      <c r="A46" s="5">
        <v>45408</v>
      </c>
    </row>
    <row r="47" spans="1:1">
      <c r="A47" s="5">
        <v>45411</v>
      </c>
    </row>
    <row r="48" spans="1:1">
      <c r="A48" s="5">
        <v>45414</v>
      </c>
    </row>
    <row r="49" spans="1:1">
      <c r="A49" s="5">
        <v>45419</v>
      </c>
    </row>
    <row r="50" spans="1:1">
      <c r="A50" s="5">
        <v>45420</v>
      </c>
    </row>
    <row r="51" spans="1:1">
      <c r="A51" s="5">
        <v>45427</v>
      </c>
    </row>
    <row r="52" spans="1:1">
      <c r="A52" s="5">
        <v>45428</v>
      </c>
    </row>
    <row r="53" spans="1:1">
      <c r="A53" s="5">
        <v>45429</v>
      </c>
    </row>
    <row r="54" spans="1:1">
      <c r="A54" s="5">
        <v>45433</v>
      </c>
    </row>
    <row r="55" spans="1:1">
      <c r="A55" s="5">
        <v>45434</v>
      </c>
    </row>
    <row r="56" spans="1:1">
      <c r="A56" s="5">
        <v>45435</v>
      </c>
    </row>
    <row r="57" spans="1:1">
      <c r="A57" s="5">
        <v>45439</v>
      </c>
    </row>
    <row r="58" spans="1:1">
      <c r="A58" s="5">
        <v>45441</v>
      </c>
    </row>
    <row r="59" spans="1:1">
      <c r="A59" s="5">
        <v>45442</v>
      </c>
    </row>
    <row r="60" spans="1:1">
      <c r="A60" s="5">
        <v>45443</v>
      </c>
    </row>
    <row r="61" spans="1:1">
      <c r="A61" s="5">
        <v>45446</v>
      </c>
    </row>
    <row r="62" spans="1:1">
      <c r="A62" s="5">
        <v>45447</v>
      </c>
    </row>
    <row r="63" spans="1:1">
      <c r="A63" s="5">
        <v>45448</v>
      </c>
    </row>
    <row r="64" spans="1:1">
      <c r="A64" s="5">
        <v>45449</v>
      </c>
    </row>
    <row r="65" spans="1:4">
      <c r="A65" s="5">
        <v>45450</v>
      </c>
    </row>
    <row r="66" spans="1:4">
      <c r="A66" s="5">
        <v>45454</v>
      </c>
    </row>
    <row r="67" spans="1:4">
      <c r="A67" s="5">
        <v>45455</v>
      </c>
    </row>
    <row r="68" spans="1:4">
      <c r="A68" s="5">
        <v>45456</v>
      </c>
      <c r="D68" s="3">
        <v>3.4997896900000001</v>
      </c>
    </row>
    <row r="69" spans="1:4">
      <c r="A69" s="5">
        <v>45457</v>
      </c>
    </row>
    <row r="70" spans="1:4">
      <c r="A70" s="5">
        <v>45460</v>
      </c>
    </row>
    <row r="71" spans="1:4">
      <c r="A71" s="5">
        <v>45461</v>
      </c>
      <c r="B71" s="3">
        <v>6.43</v>
      </c>
    </row>
    <row r="72" spans="1:4">
      <c r="A72" s="5">
        <v>45462</v>
      </c>
    </row>
    <row r="73" spans="1:4">
      <c r="A73" s="5">
        <v>45463</v>
      </c>
    </row>
    <row r="74" spans="1:4">
      <c r="A74" s="5">
        <v>45464</v>
      </c>
    </row>
    <row r="75" spans="1:4">
      <c r="A75" s="5">
        <v>45467</v>
      </c>
    </row>
    <row r="76" spans="1:4">
      <c r="A76" s="5">
        <v>45468</v>
      </c>
    </row>
    <row r="77" spans="1:4">
      <c r="A77" s="5">
        <v>45469</v>
      </c>
    </row>
    <row r="78" spans="1:4">
      <c r="A78" s="5">
        <v>45470</v>
      </c>
    </row>
    <row r="79" spans="1:4">
      <c r="A79" s="5">
        <v>45471</v>
      </c>
    </row>
    <row r="80" spans="1:4">
      <c r="A80" s="5">
        <v>45474</v>
      </c>
    </row>
    <row r="81" spans="1:5">
      <c r="A81" s="5">
        <v>45475</v>
      </c>
      <c r="C81" s="3">
        <v>5.4</v>
      </c>
    </row>
    <row r="82" spans="1:5">
      <c r="A82" s="5">
        <v>45476</v>
      </c>
    </row>
    <row r="83" spans="1:5">
      <c r="A83" s="5">
        <v>45477</v>
      </c>
      <c r="E83" s="3">
        <v>30.405308739999999</v>
      </c>
    </row>
    <row r="84" spans="1:5">
      <c r="A84" s="5">
        <v>45478</v>
      </c>
    </row>
    <row r="85" spans="1:5">
      <c r="A85" s="5">
        <v>45481</v>
      </c>
    </row>
    <row r="86" spans="1:5">
      <c r="A86" s="5">
        <v>45482</v>
      </c>
    </row>
    <row r="87" spans="1:5">
      <c r="A87" s="5">
        <v>45483</v>
      </c>
    </row>
    <row r="88" spans="1:5">
      <c r="A88" s="5">
        <v>45484</v>
      </c>
    </row>
    <row r="89" spans="1:5">
      <c r="A89" s="5">
        <v>45485</v>
      </c>
    </row>
    <row r="90" spans="1:5">
      <c r="A90" s="5">
        <v>45488</v>
      </c>
    </row>
    <row r="91" spans="1:5">
      <c r="A91" s="5">
        <v>45489</v>
      </c>
    </row>
    <row r="92" spans="1:5">
      <c r="A92" s="5">
        <v>45490</v>
      </c>
    </row>
    <row r="93" spans="1:5">
      <c r="A93" s="5">
        <v>45491</v>
      </c>
    </row>
    <row r="94" spans="1:5">
      <c r="A94" s="5">
        <v>45492</v>
      </c>
    </row>
    <row r="95" spans="1:5">
      <c r="A95" s="5">
        <v>45495</v>
      </c>
    </row>
    <row r="96" spans="1:5">
      <c r="A96" s="5">
        <v>45496</v>
      </c>
    </row>
    <row r="97" spans="1:1">
      <c r="A97" s="5">
        <v>45499</v>
      </c>
    </row>
    <row r="98" spans="1:1">
      <c r="A98" s="5">
        <v>45502</v>
      </c>
    </row>
    <row r="99" spans="1:1">
      <c r="A99" s="5">
        <v>45503</v>
      </c>
    </row>
    <row r="100" spans="1:1">
      <c r="A100" s="5">
        <v>45504</v>
      </c>
    </row>
    <row r="101" spans="1:1">
      <c r="A101" s="5">
        <v>45505</v>
      </c>
    </row>
    <row r="102" spans="1:1">
      <c r="A102" s="5">
        <v>45506</v>
      </c>
    </row>
    <row r="103" spans="1:1">
      <c r="A103" s="5">
        <v>45509</v>
      </c>
    </row>
    <row r="104" spans="1:1">
      <c r="A104" s="5">
        <v>45510</v>
      </c>
    </row>
    <row r="105" spans="1:1">
      <c r="A105" s="5">
        <v>45511</v>
      </c>
    </row>
    <row r="106" spans="1:1">
      <c r="A106" s="5">
        <v>45512</v>
      </c>
    </row>
    <row r="107" spans="1:1">
      <c r="A107" s="5">
        <v>45513</v>
      </c>
    </row>
    <row r="108" spans="1:1">
      <c r="A108" s="5">
        <v>45516</v>
      </c>
    </row>
    <row r="109" spans="1:1">
      <c r="A109" s="5">
        <v>45517</v>
      </c>
    </row>
    <row r="110" spans="1:1">
      <c r="A110" s="5">
        <v>45518</v>
      </c>
    </row>
    <row r="111" spans="1:1">
      <c r="A111" s="5">
        <v>45519</v>
      </c>
    </row>
    <row r="112" spans="1:1">
      <c r="A112" s="5">
        <v>45520</v>
      </c>
    </row>
    <row r="113" spans="1:1">
      <c r="A113" s="5">
        <v>45523</v>
      </c>
    </row>
    <row r="114" spans="1:1">
      <c r="A114" s="5">
        <v>45524</v>
      </c>
    </row>
    <row r="115" spans="1:1">
      <c r="A115" s="5">
        <v>45525</v>
      </c>
    </row>
    <row r="116" spans="1:1">
      <c r="A116" s="5">
        <v>45526</v>
      </c>
    </row>
    <row r="117" spans="1:1">
      <c r="A117" s="5">
        <v>45527</v>
      </c>
    </row>
    <row r="118" spans="1:1">
      <c r="A118" s="5">
        <v>45530</v>
      </c>
    </row>
    <row r="119" spans="1:1">
      <c r="A119" s="5">
        <v>45531</v>
      </c>
    </row>
    <row r="120" spans="1:1">
      <c r="A120" s="5">
        <v>45532</v>
      </c>
    </row>
    <row r="121" spans="1:1">
      <c r="A121" s="5">
        <v>45533</v>
      </c>
    </row>
    <row r="122" spans="1:1">
      <c r="A122" s="5">
        <v>45534</v>
      </c>
    </row>
    <row r="123" spans="1:1">
      <c r="A123" s="5">
        <v>45537</v>
      </c>
    </row>
    <row r="124" spans="1:1">
      <c r="A124" s="5">
        <v>45538</v>
      </c>
    </row>
    <row r="125" spans="1:1">
      <c r="A125" s="5">
        <v>45539</v>
      </c>
    </row>
    <row r="126" spans="1:1">
      <c r="A126" s="5">
        <v>45540</v>
      </c>
    </row>
    <row r="127" spans="1:1">
      <c r="A127" s="5">
        <v>45541</v>
      </c>
    </row>
    <row r="128" spans="1:1">
      <c r="A128" s="5">
        <v>45544</v>
      </c>
    </row>
    <row r="129" spans="1:4">
      <c r="A129" s="5">
        <v>45545</v>
      </c>
    </row>
    <row r="130" spans="1:4">
      <c r="A130" s="5">
        <v>45547</v>
      </c>
      <c r="D130" s="3">
        <v>4.0001382000000003</v>
      </c>
    </row>
    <row r="131" spans="1:4">
      <c r="A131" s="5">
        <v>45548</v>
      </c>
    </row>
    <row r="132" spans="1:4">
      <c r="A132" s="5">
        <v>45551</v>
      </c>
    </row>
    <row r="133" spans="1:4">
      <c r="A133" s="5">
        <v>45553</v>
      </c>
    </row>
    <row r="134" spans="1:4">
      <c r="A134" s="5">
        <v>45554</v>
      </c>
    </row>
    <row r="135" spans="1:4">
      <c r="A135" s="5">
        <v>45555</v>
      </c>
    </row>
    <row r="136" spans="1:4">
      <c r="A136" s="5">
        <v>45558</v>
      </c>
    </row>
    <row r="137" spans="1:4">
      <c r="A137" s="5">
        <v>45559</v>
      </c>
    </row>
    <row r="138" spans="1:4">
      <c r="A138" s="5">
        <v>45560</v>
      </c>
    </row>
    <row r="139" spans="1:4">
      <c r="A139" s="5">
        <v>45561</v>
      </c>
    </row>
    <row r="140" spans="1:4">
      <c r="A140" s="5">
        <v>45566</v>
      </c>
    </row>
    <row r="141" spans="1:4">
      <c r="A141" s="5">
        <v>45569</v>
      </c>
    </row>
    <row r="142" spans="1:4">
      <c r="A142" s="5">
        <v>45572</v>
      </c>
    </row>
    <row r="143" spans="1:4">
      <c r="A143" s="5">
        <v>45573</v>
      </c>
    </row>
    <row r="144" spans="1:4">
      <c r="A144" s="5">
        <v>45574</v>
      </c>
    </row>
    <row r="145" spans="1:1">
      <c r="A145" s="5">
        <v>45580</v>
      </c>
    </row>
    <row r="146" spans="1:1">
      <c r="A146" s="5">
        <v>45581</v>
      </c>
    </row>
    <row r="147" spans="1:1">
      <c r="A147" s="5">
        <v>45582</v>
      </c>
    </row>
    <row r="148" spans="1:1">
      <c r="A148" s="5">
        <v>45583</v>
      </c>
    </row>
    <row r="149" spans="1:1">
      <c r="A149" s="5">
        <v>45586</v>
      </c>
    </row>
    <row r="150" spans="1:1">
      <c r="A150" s="5">
        <v>45587</v>
      </c>
    </row>
    <row r="151" spans="1:1">
      <c r="A151" s="5">
        <v>45588</v>
      </c>
    </row>
    <row r="152" spans="1:1">
      <c r="A152" s="5">
        <v>45589</v>
      </c>
    </row>
    <row r="153" spans="1:1">
      <c r="A153" s="5">
        <v>45593</v>
      </c>
    </row>
    <row r="154" spans="1:1">
      <c r="A154" s="5">
        <v>45597</v>
      </c>
    </row>
    <row r="155" spans="1:1">
      <c r="A155" s="5">
        <v>45600</v>
      </c>
    </row>
    <row r="156" spans="1:1">
      <c r="A156" s="5">
        <v>45601</v>
      </c>
    </row>
    <row r="157" spans="1:1">
      <c r="A157" s="5">
        <v>45603</v>
      </c>
    </row>
    <row r="158" spans="1:1">
      <c r="A158" s="5">
        <v>45607</v>
      </c>
    </row>
    <row r="159" spans="1:1">
      <c r="A159" s="5">
        <v>45611</v>
      </c>
    </row>
    <row r="160" spans="1:1">
      <c r="A160" s="5">
        <v>45614</v>
      </c>
    </row>
    <row r="161" spans="1:4">
      <c r="A161" s="5">
        <v>45615</v>
      </c>
    </row>
    <row r="162" spans="1:4">
      <c r="A162" s="5">
        <v>45616</v>
      </c>
    </row>
    <row r="163" spans="1:4">
      <c r="A163" s="5">
        <v>45617</v>
      </c>
    </row>
    <row r="164" spans="1:4">
      <c r="A164" s="5">
        <v>45621</v>
      </c>
    </row>
    <row r="165" spans="1:4">
      <c r="A165" s="5">
        <v>45622</v>
      </c>
    </row>
    <row r="166" spans="1:4">
      <c r="A166" s="5">
        <v>45623</v>
      </c>
    </row>
    <row r="167" spans="1:4">
      <c r="A167" s="5">
        <v>45624</v>
      </c>
    </row>
    <row r="168" spans="1:4">
      <c r="A168" s="5">
        <v>45629</v>
      </c>
    </row>
    <row r="169" spans="1:4">
      <c r="A169" s="5">
        <v>45630</v>
      </c>
    </row>
    <row r="170" spans="1:4">
      <c r="A170" s="5">
        <v>45631</v>
      </c>
    </row>
    <row r="171" spans="1:4">
      <c r="A171" s="5">
        <v>45632</v>
      </c>
    </row>
    <row r="172" spans="1:4">
      <c r="A172" s="5">
        <v>45635</v>
      </c>
    </row>
    <row r="173" spans="1:4">
      <c r="A173" s="5">
        <v>45636</v>
      </c>
    </row>
    <row r="174" spans="1:4">
      <c r="A174" s="5">
        <v>45637</v>
      </c>
    </row>
    <row r="175" spans="1:4">
      <c r="A175" s="5">
        <v>45638</v>
      </c>
      <c r="D175" s="3">
        <v>3.99963706</v>
      </c>
    </row>
    <row r="176" spans="1:4">
      <c r="A176" s="5">
        <v>45642</v>
      </c>
    </row>
    <row r="177" spans="1:5">
      <c r="A177" s="5">
        <v>45643</v>
      </c>
    </row>
    <row r="178" spans="1:5">
      <c r="A178" s="5">
        <v>45644</v>
      </c>
    </row>
    <row r="179" spans="1:5">
      <c r="A179" s="5">
        <v>45645</v>
      </c>
    </row>
    <row r="180" spans="1:5">
      <c r="A180" s="5">
        <v>45646</v>
      </c>
    </row>
    <row r="181" spans="1:5">
      <c r="A181" s="5">
        <v>45650</v>
      </c>
    </row>
    <row r="182" spans="1:5">
      <c r="A182" s="5">
        <v>45651</v>
      </c>
    </row>
    <row r="183" spans="1:5">
      <c r="A183" s="5">
        <v>45652</v>
      </c>
    </row>
    <row r="184" spans="1:5">
      <c r="A184" s="5">
        <v>45656</v>
      </c>
    </row>
    <row r="185" spans="1:5">
      <c r="A185" s="5">
        <v>45657</v>
      </c>
    </row>
    <row r="186" spans="1:5">
      <c r="A186" s="5">
        <v>45659</v>
      </c>
      <c r="E186" s="3">
        <v>29</v>
      </c>
    </row>
    <row r="187" spans="1:5">
      <c r="A187" s="5">
        <v>45660</v>
      </c>
    </row>
    <row r="188" spans="1:5">
      <c r="A188" s="5">
        <v>45663</v>
      </c>
    </row>
    <row r="189" spans="1:5">
      <c r="A189" s="5">
        <v>45665</v>
      </c>
    </row>
    <row r="190" spans="1:5">
      <c r="A190" s="5">
        <v>45667</v>
      </c>
    </row>
    <row r="191" spans="1:5">
      <c r="A191" s="5">
        <v>45673</v>
      </c>
    </row>
    <row r="192" spans="1:5">
      <c r="A192" s="5">
        <v>45674</v>
      </c>
    </row>
    <row r="193" spans="1:1">
      <c r="A193" s="5">
        <v>45677</v>
      </c>
    </row>
    <row r="194" spans="1:1">
      <c r="A194" s="5">
        <v>45678</v>
      </c>
    </row>
    <row r="195" spans="1:1">
      <c r="A195" s="5">
        <v>45679</v>
      </c>
    </row>
    <row r="196" spans="1:1">
      <c r="A196" s="5">
        <v>45693</v>
      </c>
    </row>
    <row r="197" spans="1:1">
      <c r="A197" s="5">
        <v>45694</v>
      </c>
    </row>
    <row r="198" spans="1:1">
      <c r="A198" s="5">
        <v>45699</v>
      </c>
    </row>
    <row r="199" spans="1:1">
      <c r="A199" s="5">
        <v>45700</v>
      </c>
    </row>
    <row r="200" spans="1:1">
      <c r="A200" s="5">
        <v>45701</v>
      </c>
    </row>
    <row r="201" spans="1:1">
      <c r="A201" s="5">
        <v>45705</v>
      </c>
    </row>
    <row r="202" spans="1:1">
      <c r="A202" s="5">
        <v>45706</v>
      </c>
    </row>
    <row r="203" spans="1:1">
      <c r="A203" s="5">
        <v>45707</v>
      </c>
    </row>
    <row r="204" spans="1:1">
      <c r="A204" s="5">
        <v>45708</v>
      </c>
    </row>
    <row r="205" spans="1:1">
      <c r="A205" s="5">
        <v>45709</v>
      </c>
    </row>
    <row r="206" spans="1:1">
      <c r="A206" s="5">
        <v>45712</v>
      </c>
    </row>
    <row r="207" spans="1:1">
      <c r="A207" s="5">
        <v>45714</v>
      </c>
    </row>
    <row r="208" spans="1:1">
      <c r="A208" s="5">
        <v>45720</v>
      </c>
    </row>
    <row r="209" spans="1:4">
      <c r="A209" s="5">
        <v>45721</v>
      </c>
    </row>
    <row r="210" spans="1:4">
      <c r="A210" s="5">
        <v>45722</v>
      </c>
    </row>
    <row r="211" spans="1:4">
      <c r="A211" s="5">
        <v>45723</v>
      </c>
    </row>
    <row r="212" spans="1:4">
      <c r="A212" s="5">
        <v>45726</v>
      </c>
    </row>
    <row r="213" spans="1:4">
      <c r="A213" s="5">
        <v>45727</v>
      </c>
    </row>
    <row r="214" spans="1:4">
      <c r="A214" s="5">
        <v>45728</v>
      </c>
    </row>
    <row r="215" spans="1:4">
      <c r="A215" s="5">
        <v>45729</v>
      </c>
    </row>
    <row r="216" spans="1:4">
      <c r="A216" s="5">
        <v>45733</v>
      </c>
    </row>
    <row r="217" spans="1:4">
      <c r="A217" s="5">
        <v>45734</v>
      </c>
      <c r="D217" s="3">
        <v>4.5000204200000002</v>
      </c>
    </row>
    <row r="218" spans="1:4">
      <c r="A218" s="5">
        <v>45735</v>
      </c>
    </row>
    <row r="219" spans="1:4">
      <c r="A219" s="5">
        <v>45736</v>
      </c>
    </row>
    <row r="220" spans="1:4">
      <c r="A220" s="5">
        <v>45737</v>
      </c>
    </row>
    <row r="221" spans="1:4">
      <c r="A221" s="5">
        <v>45740</v>
      </c>
    </row>
    <row r="222" spans="1:4">
      <c r="A222" s="5">
        <v>45741</v>
      </c>
    </row>
    <row r="223" spans="1:4">
      <c r="A223" s="5">
        <v>45742</v>
      </c>
    </row>
    <row r="224" spans="1:4">
      <c r="A224" s="5">
        <v>45743</v>
      </c>
    </row>
    <row r="225" spans="1:1">
      <c r="A225" s="5">
        <v>45744</v>
      </c>
    </row>
    <row r="226" spans="1:1">
      <c r="A226" s="5">
        <v>45747</v>
      </c>
    </row>
    <row r="227" spans="1:1">
      <c r="A227" s="5">
        <v>45748</v>
      </c>
    </row>
    <row r="228" spans="1:1">
      <c r="A228" s="5">
        <v>45749</v>
      </c>
    </row>
    <row r="229" spans="1:1">
      <c r="A229" s="5">
        <v>45754</v>
      </c>
    </row>
    <row r="230" spans="1:1">
      <c r="A230" s="5">
        <v>45755</v>
      </c>
    </row>
    <row r="231" spans="1:1">
      <c r="A231" s="5">
        <v>45756</v>
      </c>
    </row>
    <row r="232" spans="1:1">
      <c r="A232" s="5">
        <v>45757</v>
      </c>
    </row>
    <row r="233" spans="1:1">
      <c r="A233" s="5">
        <v>45758</v>
      </c>
    </row>
    <row r="234" spans="1:1">
      <c r="A234" s="5">
        <v>45763</v>
      </c>
    </row>
    <row r="235" spans="1:1">
      <c r="A235" s="5">
        <v>45764</v>
      </c>
    </row>
    <row r="236" spans="1:1">
      <c r="A236" s="5">
        <v>45765</v>
      </c>
    </row>
    <row r="237" spans="1:1">
      <c r="A237" s="5">
        <v>45768</v>
      </c>
    </row>
    <row r="238" spans="1:1">
      <c r="A238" s="5">
        <v>45769</v>
      </c>
    </row>
    <row r="239" spans="1:1">
      <c r="A239" s="5">
        <v>45770</v>
      </c>
    </row>
    <row r="240" spans="1:1">
      <c r="A240" s="5">
        <v>45771</v>
      </c>
    </row>
    <row r="241" spans="1:1">
      <c r="A241" s="5">
        <v>45772</v>
      </c>
    </row>
    <row r="242" spans="1:1">
      <c r="A242" s="5">
        <v>45777</v>
      </c>
    </row>
    <row r="243" spans="1:1">
      <c r="A243" s="5">
        <v>45779</v>
      </c>
    </row>
    <row r="244" spans="1:1">
      <c r="A244" s="5">
        <v>45782</v>
      </c>
    </row>
    <row r="245" spans="1:1">
      <c r="A245" s="5">
        <v>45783</v>
      </c>
    </row>
    <row r="246" spans="1:1">
      <c r="A246" s="5">
        <v>45785</v>
      </c>
    </row>
    <row r="247" spans="1:1">
      <c r="A247" s="5">
        <v>45790</v>
      </c>
    </row>
    <row r="248" spans="1:1">
      <c r="A248" s="5">
        <v>45792</v>
      </c>
    </row>
    <row r="249" spans="1:1">
      <c r="A249" s="5">
        <v>45793</v>
      </c>
    </row>
    <row r="250" spans="1:1">
      <c r="A250" s="5">
        <v>45796</v>
      </c>
    </row>
    <row r="251" spans="1:1">
      <c r="A251" s="5">
        <v>45797</v>
      </c>
    </row>
    <row r="252" spans="1:1">
      <c r="A252" s="5">
        <v>45798</v>
      </c>
    </row>
    <row r="253" spans="1:1">
      <c r="A253" s="5">
        <v>45799</v>
      </c>
    </row>
    <row r="254" spans="1:1">
      <c r="A254" s="5">
        <v>45804</v>
      </c>
    </row>
    <row r="255" spans="1:1">
      <c r="A255" s="5">
        <v>45805</v>
      </c>
    </row>
    <row r="256" spans="1:1">
      <c r="A256" s="5">
        <v>45806</v>
      </c>
    </row>
    <row r="257" spans="1:4">
      <c r="A257" s="5">
        <v>45810</v>
      </c>
    </row>
    <row r="258" spans="1:4">
      <c r="A258" s="5">
        <v>45811</v>
      </c>
    </row>
    <row r="259" spans="1:4">
      <c r="A259" s="5">
        <v>45812</v>
      </c>
    </row>
    <row r="260" spans="1:4">
      <c r="A260" s="5">
        <v>45813</v>
      </c>
    </row>
    <row r="261" spans="1:4">
      <c r="A261" s="5">
        <v>45814</v>
      </c>
    </row>
    <row r="262" spans="1:4">
      <c r="A262" s="5">
        <v>45817</v>
      </c>
    </row>
    <row r="263" spans="1:4">
      <c r="A263" s="5">
        <v>45818</v>
      </c>
    </row>
    <row r="264" spans="1:4">
      <c r="A264" s="5">
        <v>45819</v>
      </c>
    </row>
    <row r="265" spans="1:4">
      <c r="A265" s="5">
        <v>45820</v>
      </c>
      <c r="D265" s="3">
        <v>4.5000204200000002</v>
      </c>
    </row>
    <row r="266" spans="1:4">
      <c r="A266" s="5">
        <v>45821</v>
      </c>
    </row>
    <row r="267" spans="1:4">
      <c r="A267" s="5">
        <v>45824</v>
      </c>
    </row>
    <row r="268" spans="1:4">
      <c r="A268" s="5">
        <v>45825</v>
      </c>
      <c r="B268" s="3">
        <v>7</v>
      </c>
    </row>
    <row r="269" spans="1:4">
      <c r="A269" s="5">
        <v>45826</v>
      </c>
    </row>
    <row r="270" spans="1:4">
      <c r="A270" s="5">
        <v>45827</v>
      </c>
    </row>
    <row r="271" spans="1:4">
      <c r="A271" s="5">
        <v>45828</v>
      </c>
    </row>
    <row r="272" spans="1:4">
      <c r="A272" s="5">
        <v>45831</v>
      </c>
    </row>
    <row r="273" spans="1:5">
      <c r="A273" s="5">
        <v>45832</v>
      </c>
    </row>
    <row r="274" spans="1:5">
      <c r="A274" s="5">
        <v>45833</v>
      </c>
    </row>
    <row r="275" spans="1:5">
      <c r="A275" s="5">
        <v>45834</v>
      </c>
    </row>
    <row r="276" spans="1:5">
      <c r="A276" s="5">
        <v>45835</v>
      </c>
    </row>
    <row r="277" spans="1:5">
      <c r="A277" s="5">
        <v>45838</v>
      </c>
    </row>
    <row r="278" spans="1:5">
      <c r="A278" s="5">
        <v>45839</v>
      </c>
    </row>
    <row r="279" spans="1:5">
      <c r="A279" s="5">
        <v>45840</v>
      </c>
      <c r="C279" s="3">
        <v>5.7999837599999999</v>
      </c>
    </row>
    <row r="280" spans="1:5">
      <c r="A280" s="5">
        <v>45841</v>
      </c>
      <c r="E280" s="3">
        <v>25.000217469999999</v>
      </c>
    </row>
    <row r="281" spans="1:5">
      <c r="A281" s="5">
        <v>45842</v>
      </c>
    </row>
    <row r="282" spans="1:5">
      <c r="A282" s="5">
        <v>45845</v>
      </c>
    </row>
    <row r="283" spans="1:5">
      <c r="A283" s="5">
        <v>45846</v>
      </c>
    </row>
    <row r="284" spans="1:5">
      <c r="A284" s="5">
        <v>45847</v>
      </c>
    </row>
    <row r="285" spans="1:5">
      <c r="A285" s="5">
        <v>45848</v>
      </c>
    </row>
    <row r="286" spans="1:5">
      <c r="A286" s="5">
        <v>45849</v>
      </c>
    </row>
    <row r="287" spans="1:5">
      <c r="A287" s="5">
        <v>45852</v>
      </c>
    </row>
    <row r="288" spans="1:5">
      <c r="A288" s="5">
        <v>45853</v>
      </c>
    </row>
    <row r="289" spans="1:1">
      <c r="A289" s="5">
        <v>45854</v>
      </c>
    </row>
    <row r="290" spans="1:1">
      <c r="A290" s="5">
        <v>45855</v>
      </c>
    </row>
    <row r="291" spans="1:1">
      <c r="A291" s="5">
        <v>45856</v>
      </c>
    </row>
    <row r="292" spans="1:1">
      <c r="A292" s="5">
        <v>45859</v>
      </c>
    </row>
    <row r="293" spans="1:1">
      <c r="A293" s="5">
        <v>45860</v>
      </c>
    </row>
    <row r="294" spans="1:1">
      <c r="A294" s="5">
        <v>45861</v>
      </c>
    </row>
    <row r="295" spans="1:1">
      <c r="A295" s="5">
        <v>45862</v>
      </c>
    </row>
    <row r="296" spans="1:1">
      <c r="A296" s="5">
        <v>45863</v>
      </c>
    </row>
    <row r="297" spans="1:1">
      <c r="A297" s="5">
        <v>45866</v>
      </c>
    </row>
    <row r="298" spans="1:1">
      <c r="A298" s="5">
        <v>45867</v>
      </c>
    </row>
    <row r="299" spans="1:1">
      <c r="A299" s="5">
        <v>45868</v>
      </c>
    </row>
    <row r="300" spans="1:1">
      <c r="A300" s="5">
        <v>45869</v>
      </c>
    </row>
    <row r="301" spans="1:1">
      <c r="A301" s="5">
        <v>45870</v>
      </c>
    </row>
    <row r="302" spans="1:1">
      <c r="A302" s="5">
        <v>45873</v>
      </c>
    </row>
    <row r="303" spans="1:1">
      <c r="A303" s="5">
        <v>45874</v>
      </c>
    </row>
    <row r="304" spans="1:1">
      <c r="A304" s="5">
        <v>45875</v>
      </c>
    </row>
    <row r="305" spans="1:1">
      <c r="A305" s="5">
        <v>45876</v>
      </c>
    </row>
    <row r="306" spans="1:1">
      <c r="A306" s="5">
        <v>45877</v>
      </c>
    </row>
    <row r="307" spans="1:1">
      <c r="A307" s="5">
        <v>45880</v>
      </c>
    </row>
    <row r="308" spans="1:1">
      <c r="A308" s="5">
        <v>45881</v>
      </c>
    </row>
    <row r="309" spans="1:1">
      <c r="A309" s="5">
        <v>45882</v>
      </c>
    </row>
    <row r="310" spans="1:1">
      <c r="A310" s="5">
        <v>45883</v>
      </c>
    </row>
    <row r="311" spans="1:1">
      <c r="A311" s="5">
        <v>45884</v>
      </c>
    </row>
    <row r="312" spans="1:1">
      <c r="A312" s="5">
        <v>45887</v>
      </c>
    </row>
    <row r="313" spans="1:1">
      <c r="A313" s="5">
        <v>45888</v>
      </c>
    </row>
    <row r="314" spans="1:1">
      <c r="A314" s="5">
        <v>45889</v>
      </c>
    </row>
    <row r="315" spans="1:1">
      <c r="A315" s="5">
        <v>45890</v>
      </c>
    </row>
    <row r="316" spans="1:1">
      <c r="A316" s="5">
        <v>45891</v>
      </c>
    </row>
    <row r="317" spans="1:1">
      <c r="A317" s="5">
        <v>45894</v>
      </c>
    </row>
    <row r="318" spans="1:1">
      <c r="A318" s="5">
        <v>45895</v>
      </c>
    </row>
    <row r="319" spans="1:1">
      <c r="A319" s="5">
        <v>45896</v>
      </c>
    </row>
    <row r="320" spans="1:1">
      <c r="A320" s="5">
        <v>45897</v>
      </c>
    </row>
    <row r="321" spans="1:4">
      <c r="A321" s="5">
        <v>45898</v>
      </c>
    </row>
    <row r="322" spans="1:4">
      <c r="A322" s="5">
        <v>45901</v>
      </c>
    </row>
    <row r="323" spans="1:4">
      <c r="A323" s="5">
        <v>45902</v>
      </c>
    </row>
    <row r="324" spans="1:4">
      <c r="A324" s="5">
        <v>45903</v>
      </c>
    </row>
    <row r="325" spans="1:4">
      <c r="A325" s="5">
        <v>45904</v>
      </c>
    </row>
    <row r="326" spans="1:4">
      <c r="A326" s="5">
        <v>45905</v>
      </c>
    </row>
    <row r="327" spans="1:4">
      <c r="A327" s="5">
        <v>45908</v>
      </c>
    </row>
    <row r="328" spans="1:4">
      <c r="A328" s="5">
        <v>45909</v>
      </c>
    </row>
    <row r="329" spans="1:4">
      <c r="A329" s="5">
        <v>45910</v>
      </c>
    </row>
    <row r="330" spans="1:4">
      <c r="A330" s="5">
        <v>45911</v>
      </c>
    </row>
    <row r="331" spans="1:4">
      <c r="A331" s="5">
        <v>45912</v>
      </c>
    </row>
    <row r="332" spans="1:4">
      <c r="A332" s="5">
        <v>45915</v>
      </c>
    </row>
    <row r="333" spans="1:4">
      <c r="A333" s="5">
        <v>45916</v>
      </c>
      <c r="D333" s="3">
        <v>5.00001754</v>
      </c>
    </row>
    <row r="334" spans="1:4">
      <c r="A334" s="5">
        <v>45917</v>
      </c>
    </row>
    <row r="335" spans="1:4">
      <c r="A335" s="5">
        <v>45918</v>
      </c>
    </row>
    <row r="336" spans="1:4">
      <c r="A336" s="5">
        <v>45919</v>
      </c>
    </row>
    <row r="337" spans="1:1">
      <c r="A337" s="5">
        <v>45922</v>
      </c>
    </row>
    <row r="338" spans="1:1">
      <c r="A338" s="5">
        <v>45923</v>
      </c>
    </row>
    <row r="339" spans="1:1">
      <c r="A339" s="5">
        <v>45924</v>
      </c>
    </row>
    <row r="340" spans="1:1">
      <c r="A340" s="5">
        <v>45925</v>
      </c>
    </row>
    <row r="341" spans="1:1">
      <c r="A341" s="5">
        <v>45926</v>
      </c>
    </row>
    <row r="342" spans="1:1">
      <c r="A342" s="5">
        <v>45930</v>
      </c>
    </row>
    <row r="343" spans="1:1">
      <c r="A343" s="5">
        <v>45932</v>
      </c>
    </row>
    <row r="344" spans="1:1">
      <c r="A344" s="5">
        <v>45933</v>
      </c>
    </row>
    <row r="345" spans="1:1">
      <c r="A345" s="5">
        <v>45937</v>
      </c>
    </row>
    <row r="346" spans="1:1">
      <c r="A346" s="5">
        <v>45938</v>
      </c>
    </row>
    <row r="347" spans="1:1">
      <c r="A347" s="5">
        <v>45939</v>
      </c>
    </row>
    <row r="348" spans="1:1">
      <c r="A348" s="5">
        <v>45943</v>
      </c>
    </row>
    <row r="349" spans="1:1">
      <c r="A349" s="5">
        <v>45944</v>
      </c>
    </row>
    <row r="350" spans="1:1">
      <c r="A350" s="5">
        <v>45946</v>
      </c>
    </row>
    <row r="351" spans="1:1">
      <c r="A351" s="5">
        <v>45947</v>
      </c>
    </row>
    <row r="352" spans="1:1">
      <c r="A352" s="5">
        <v>45950</v>
      </c>
    </row>
    <row r="353" spans="1:1">
      <c r="A353" s="5">
        <v>45951</v>
      </c>
    </row>
    <row r="354" spans="1:1">
      <c r="A354" s="5">
        <v>45952</v>
      </c>
    </row>
    <row r="355" spans="1:1">
      <c r="A355" s="5">
        <v>45953</v>
      </c>
    </row>
    <row r="356" spans="1:1">
      <c r="A356" s="5">
        <v>45957</v>
      </c>
    </row>
    <row r="357" spans="1:1">
      <c r="A357" s="5">
        <v>45958</v>
      </c>
    </row>
    <row r="358" spans="1:1">
      <c r="A358" s="5">
        <v>45959</v>
      </c>
    </row>
    <row r="359" spans="1:1">
      <c r="A359" s="5">
        <v>45960</v>
      </c>
    </row>
    <row r="360" spans="1:1">
      <c r="A360" s="5">
        <v>45961</v>
      </c>
    </row>
    <row r="361" spans="1:1">
      <c r="A361" s="5">
        <v>45964</v>
      </c>
    </row>
    <row r="362" spans="1:1">
      <c r="A362" s="5">
        <v>45965</v>
      </c>
    </row>
    <row r="363" spans="1:1">
      <c r="A363" s="5">
        <v>45966</v>
      </c>
    </row>
    <row r="364" spans="1:1">
      <c r="A364" s="5">
        <v>45967</v>
      </c>
    </row>
    <row r="365" spans="1:1">
      <c r="A365" s="5">
        <v>45971</v>
      </c>
    </row>
    <row r="366" spans="1:1">
      <c r="A366" s="5">
        <v>45978</v>
      </c>
    </row>
    <row r="367" spans="1:1">
      <c r="A367" s="5">
        <v>45979</v>
      </c>
    </row>
    <row r="368" spans="1:1">
      <c r="A368" s="5">
        <v>45980</v>
      </c>
    </row>
    <row r="369" spans="1:4">
      <c r="A369" s="5">
        <v>45981</v>
      </c>
    </row>
    <row r="370" spans="1:4">
      <c r="A370" s="5">
        <v>45982</v>
      </c>
    </row>
    <row r="371" spans="1:4">
      <c r="A371" s="5">
        <v>45985</v>
      </c>
    </row>
    <row r="372" spans="1:4">
      <c r="A372" s="5">
        <v>45986</v>
      </c>
    </row>
    <row r="373" spans="1:4">
      <c r="A373" s="5">
        <v>45988</v>
      </c>
    </row>
    <row r="374" spans="1:4">
      <c r="A374" s="5">
        <v>45993</v>
      </c>
    </row>
    <row r="375" spans="1:4">
      <c r="A375" s="5">
        <v>45994</v>
      </c>
    </row>
    <row r="376" spans="1:4">
      <c r="A376" s="5">
        <v>45995</v>
      </c>
    </row>
    <row r="377" spans="1:4">
      <c r="A377" s="5">
        <v>45996</v>
      </c>
    </row>
    <row r="378" spans="1:4">
      <c r="A378" s="5">
        <v>46000</v>
      </c>
    </row>
    <row r="379" spans="1:4">
      <c r="A379" s="5">
        <v>46001</v>
      </c>
    </row>
    <row r="380" spans="1:4">
      <c r="A380" s="5">
        <v>46002</v>
      </c>
      <c r="D380" s="3">
        <v>5.0000111800000004</v>
      </c>
    </row>
    <row r="381" spans="1:4">
      <c r="A381" s="5">
        <v>46006</v>
      </c>
    </row>
    <row r="382" spans="1:4">
      <c r="A382" s="5">
        <v>46007</v>
      </c>
    </row>
    <row r="383" spans="1:4">
      <c r="A383" s="5">
        <v>46008</v>
      </c>
    </row>
    <row r="384" spans="1:4">
      <c r="A384" s="5">
        <v>46009</v>
      </c>
    </row>
    <row r="385" spans="1:1">
      <c r="A385" s="5">
        <v>46010</v>
      </c>
    </row>
    <row r="386" spans="1:1">
      <c r="A386" s="5">
        <v>46013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7"/>
  <dimension ref="A1:E479"/>
  <sheetViews>
    <sheetView workbookViewId="0">
      <selection sqref="A1:E6"/>
    </sheetView>
  </sheetViews>
  <sheetFormatPr baseColWidth="10" defaultColWidth="9" defaultRowHeight="14"/>
  <sheetData>
    <row r="1" spans="1: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5">
      <c r="A2" t="s">
        <v>5</v>
      </c>
      <c r="C2">
        <v>104.5</v>
      </c>
      <c r="D2">
        <v>578</v>
      </c>
      <c r="E2">
        <v>953</v>
      </c>
    </row>
    <row r="3" spans="1:5">
      <c r="A3" t="s">
        <v>6</v>
      </c>
      <c r="C3">
        <v>104</v>
      </c>
      <c r="D3">
        <v>580</v>
      </c>
      <c r="E3">
        <v>928</v>
      </c>
    </row>
    <row r="4" spans="1:5">
      <c r="A4" t="s">
        <v>7</v>
      </c>
      <c r="C4">
        <v>104</v>
      </c>
      <c r="D4">
        <v>576</v>
      </c>
      <c r="E4">
        <v>921</v>
      </c>
    </row>
    <row r="5" spans="1:5">
      <c r="A5" t="s">
        <v>8</v>
      </c>
      <c r="C5">
        <v>101.5</v>
      </c>
      <c r="D5">
        <v>583</v>
      </c>
      <c r="E5">
        <v>920</v>
      </c>
    </row>
    <row r="6" spans="1:5">
      <c r="A6" t="s">
        <v>9</v>
      </c>
      <c r="C6">
        <v>101</v>
      </c>
      <c r="D6">
        <v>586</v>
      </c>
      <c r="E6">
        <v>928</v>
      </c>
    </row>
    <row r="7" spans="1:5">
      <c r="A7" t="s">
        <v>10</v>
      </c>
      <c r="C7">
        <v>100</v>
      </c>
      <c r="D7">
        <v>584</v>
      </c>
      <c r="E7">
        <v>924</v>
      </c>
    </row>
    <row r="8" spans="1:5">
      <c r="A8" t="s">
        <v>11</v>
      </c>
      <c r="C8">
        <v>100.5</v>
      </c>
      <c r="D8">
        <v>586</v>
      </c>
      <c r="E8">
        <v>920</v>
      </c>
    </row>
    <row r="9" spans="1:5">
      <c r="A9" t="s">
        <v>12</v>
      </c>
      <c r="C9">
        <v>100.5</v>
      </c>
      <c r="D9">
        <v>584</v>
      </c>
      <c r="E9">
        <v>926</v>
      </c>
    </row>
    <row r="10" spans="1:5">
      <c r="A10" t="s">
        <v>13</v>
      </c>
      <c r="C10">
        <v>100</v>
      </c>
      <c r="D10">
        <v>586</v>
      </c>
      <c r="E10">
        <v>922</v>
      </c>
    </row>
    <row r="11" spans="1:5">
      <c r="A11" t="s">
        <v>14</v>
      </c>
      <c r="C11">
        <v>100</v>
      </c>
      <c r="D11">
        <v>580</v>
      </c>
      <c r="E11">
        <v>895</v>
      </c>
    </row>
    <row r="12" spans="1:5">
      <c r="A12" t="s">
        <v>15</v>
      </c>
      <c r="C12">
        <v>98.6</v>
      </c>
      <c r="D12">
        <v>581</v>
      </c>
      <c r="E12">
        <v>879</v>
      </c>
    </row>
    <row r="13" spans="1:5">
      <c r="A13" t="s">
        <v>16</v>
      </c>
      <c r="C13">
        <v>99.9</v>
      </c>
      <c r="D13">
        <v>588</v>
      </c>
      <c r="E13">
        <v>897</v>
      </c>
    </row>
    <row r="14" spans="1:5">
      <c r="A14" t="s">
        <v>17</v>
      </c>
      <c r="C14">
        <v>100.5</v>
      </c>
      <c r="D14">
        <v>626</v>
      </c>
      <c r="E14">
        <v>920</v>
      </c>
    </row>
    <row r="15" spans="1:5">
      <c r="A15" t="s">
        <v>18</v>
      </c>
      <c r="C15">
        <v>99.9</v>
      </c>
      <c r="D15">
        <v>626</v>
      </c>
      <c r="E15">
        <v>922</v>
      </c>
    </row>
    <row r="16" spans="1:5">
      <c r="A16" t="s">
        <v>19</v>
      </c>
      <c r="C16">
        <v>101</v>
      </c>
      <c r="D16">
        <v>628</v>
      </c>
      <c r="E16">
        <v>911</v>
      </c>
    </row>
    <row r="17" spans="1:5">
      <c r="A17" t="s">
        <v>20</v>
      </c>
      <c r="C17">
        <v>100.5</v>
      </c>
      <c r="D17">
        <v>627</v>
      </c>
      <c r="E17">
        <v>936</v>
      </c>
    </row>
    <row r="18" spans="1:5">
      <c r="A18" t="s">
        <v>21</v>
      </c>
      <c r="C18">
        <v>102</v>
      </c>
      <c r="D18">
        <v>642</v>
      </c>
      <c r="E18">
        <v>943</v>
      </c>
    </row>
    <row r="19" spans="1:5">
      <c r="A19" t="s">
        <v>22</v>
      </c>
      <c r="C19">
        <v>102.5</v>
      </c>
      <c r="D19">
        <v>644</v>
      </c>
      <c r="E19">
        <v>936</v>
      </c>
    </row>
    <row r="20" spans="1:5">
      <c r="A20" t="s">
        <v>23</v>
      </c>
      <c r="C20">
        <v>102.5</v>
      </c>
      <c r="D20">
        <v>648</v>
      </c>
      <c r="E20">
        <v>938</v>
      </c>
    </row>
    <row r="21" spans="1:5">
      <c r="A21" t="s">
        <v>24</v>
      </c>
      <c r="C21">
        <v>102</v>
      </c>
      <c r="D21">
        <v>642</v>
      </c>
      <c r="E21">
        <v>963</v>
      </c>
    </row>
    <row r="22" spans="1:5">
      <c r="A22" t="s">
        <v>25</v>
      </c>
      <c r="C22">
        <v>102.5</v>
      </c>
      <c r="D22">
        <v>628</v>
      </c>
      <c r="E22">
        <v>966</v>
      </c>
    </row>
    <row r="23" spans="1:5">
      <c r="A23" t="s">
        <v>26</v>
      </c>
      <c r="C23">
        <v>103</v>
      </c>
      <c r="D23">
        <v>628</v>
      </c>
      <c r="E23">
        <v>930</v>
      </c>
    </row>
    <row r="24" spans="1:5">
      <c r="A24" t="s">
        <v>27</v>
      </c>
      <c r="C24">
        <v>102</v>
      </c>
      <c r="D24">
        <v>635</v>
      </c>
      <c r="E24">
        <v>936</v>
      </c>
    </row>
    <row r="25" spans="1:5">
      <c r="A25" t="s">
        <v>28</v>
      </c>
      <c r="C25">
        <v>101.5</v>
      </c>
      <c r="D25">
        <v>646</v>
      </c>
      <c r="E25">
        <v>937</v>
      </c>
    </row>
    <row r="26" spans="1:5">
      <c r="A26" t="s">
        <v>29</v>
      </c>
      <c r="C26">
        <v>101</v>
      </c>
      <c r="D26">
        <v>697</v>
      </c>
      <c r="E26">
        <v>972</v>
      </c>
    </row>
    <row r="27" spans="1:5">
      <c r="A27" t="s">
        <v>30</v>
      </c>
      <c r="C27">
        <v>101.5</v>
      </c>
      <c r="D27">
        <v>683</v>
      </c>
      <c r="E27">
        <v>970</v>
      </c>
    </row>
    <row r="28" spans="1:5">
      <c r="A28" t="s">
        <v>31</v>
      </c>
      <c r="C28">
        <v>103</v>
      </c>
      <c r="D28">
        <v>678</v>
      </c>
      <c r="E28">
        <v>963</v>
      </c>
    </row>
    <row r="29" spans="1:5">
      <c r="A29" t="s">
        <v>32</v>
      </c>
      <c r="C29">
        <v>103.5</v>
      </c>
      <c r="D29">
        <v>687</v>
      </c>
      <c r="E29">
        <v>982</v>
      </c>
    </row>
    <row r="30" spans="1:5">
      <c r="A30" t="s">
        <v>33</v>
      </c>
      <c r="C30">
        <v>103</v>
      </c>
      <c r="D30">
        <v>681</v>
      </c>
      <c r="E30">
        <v>981</v>
      </c>
    </row>
    <row r="31" spans="1:5">
      <c r="A31" t="s">
        <v>34</v>
      </c>
      <c r="C31">
        <v>103.5</v>
      </c>
      <c r="D31">
        <v>692</v>
      </c>
      <c r="E31">
        <v>1015</v>
      </c>
    </row>
    <row r="32" spans="1:5">
      <c r="A32" t="s">
        <v>35</v>
      </c>
      <c r="C32">
        <v>103</v>
      </c>
      <c r="D32">
        <v>697</v>
      </c>
      <c r="E32">
        <v>1100</v>
      </c>
    </row>
    <row r="33" spans="1:5">
      <c r="A33" t="s">
        <v>36</v>
      </c>
      <c r="C33">
        <v>103.5</v>
      </c>
      <c r="D33">
        <v>698</v>
      </c>
      <c r="E33">
        <v>1115</v>
      </c>
    </row>
    <row r="34" spans="1:5">
      <c r="A34" t="s">
        <v>37</v>
      </c>
      <c r="C34">
        <v>103.5</v>
      </c>
      <c r="D34">
        <v>698</v>
      </c>
      <c r="E34">
        <v>1115</v>
      </c>
    </row>
    <row r="35" spans="1:5">
      <c r="A35" t="s">
        <v>38</v>
      </c>
      <c r="C35">
        <v>103</v>
      </c>
      <c r="D35">
        <v>690</v>
      </c>
      <c r="E35">
        <v>1140</v>
      </c>
    </row>
    <row r="36" spans="1:5">
      <c r="A36" t="s">
        <v>39</v>
      </c>
      <c r="C36">
        <v>102</v>
      </c>
      <c r="D36">
        <v>689</v>
      </c>
      <c r="E36">
        <v>1105</v>
      </c>
    </row>
    <row r="37" spans="1:5">
      <c r="A37" t="s">
        <v>40</v>
      </c>
      <c r="C37">
        <v>106.5</v>
      </c>
      <c r="D37">
        <v>725</v>
      </c>
      <c r="E37">
        <v>1150</v>
      </c>
    </row>
    <row r="38" spans="1:5">
      <c r="A38" t="s">
        <v>41</v>
      </c>
      <c r="C38">
        <v>106.5</v>
      </c>
      <c r="D38">
        <v>730</v>
      </c>
      <c r="E38">
        <v>1155</v>
      </c>
    </row>
    <row r="39" spans="1:5">
      <c r="A39" t="s">
        <v>42</v>
      </c>
      <c r="C39">
        <v>106.5</v>
      </c>
      <c r="D39">
        <v>735</v>
      </c>
      <c r="E39">
        <v>1190</v>
      </c>
    </row>
    <row r="40" spans="1:5">
      <c r="A40" t="s">
        <v>43</v>
      </c>
      <c r="C40">
        <v>107.5</v>
      </c>
      <c r="D40">
        <v>760</v>
      </c>
      <c r="E40">
        <v>1230</v>
      </c>
    </row>
    <row r="41" spans="1:5">
      <c r="A41" t="s">
        <v>44</v>
      </c>
      <c r="C41">
        <v>105</v>
      </c>
      <c r="D41">
        <v>784</v>
      </c>
      <c r="E41">
        <v>1230</v>
      </c>
    </row>
    <row r="42" spans="1:5">
      <c r="A42" t="s">
        <v>45</v>
      </c>
      <c r="C42">
        <v>109.5</v>
      </c>
      <c r="D42">
        <v>766</v>
      </c>
      <c r="E42">
        <v>1225</v>
      </c>
    </row>
    <row r="43" spans="1:5">
      <c r="A43" t="s">
        <v>46</v>
      </c>
      <c r="C43">
        <v>119</v>
      </c>
      <c r="D43">
        <v>770</v>
      </c>
      <c r="E43">
        <v>1215</v>
      </c>
    </row>
    <row r="44" spans="1:5">
      <c r="A44" t="s">
        <v>47</v>
      </c>
      <c r="C44">
        <v>120.5</v>
      </c>
      <c r="D44">
        <v>779</v>
      </c>
      <c r="E44">
        <v>1215</v>
      </c>
    </row>
    <row r="45" spans="1:5">
      <c r="A45" t="s">
        <v>48</v>
      </c>
      <c r="C45">
        <v>121</v>
      </c>
      <c r="D45">
        <v>784</v>
      </c>
      <c r="E45">
        <v>1150</v>
      </c>
    </row>
    <row r="46" spans="1:5">
      <c r="A46" t="s">
        <v>49</v>
      </c>
      <c r="C46">
        <v>132</v>
      </c>
      <c r="D46">
        <v>753</v>
      </c>
      <c r="E46">
        <v>1135</v>
      </c>
    </row>
    <row r="47" spans="1:5">
      <c r="A47" t="s">
        <v>50</v>
      </c>
      <c r="C47">
        <v>136</v>
      </c>
      <c r="D47">
        <v>764</v>
      </c>
      <c r="E47">
        <v>1170</v>
      </c>
    </row>
    <row r="48" spans="1:5">
      <c r="A48" t="s">
        <v>51</v>
      </c>
      <c r="C48">
        <v>136</v>
      </c>
      <c r="D48">
        <v>762</v>
      </c>
      <c r="E48">
        <v>1150</v>
      </c>
    </row>
    <row r="49" spans="1:5">
      <c r="A49" t="s">
        <v>52</v>
      </c>
      <c r="C49">
        <v>138</v>
      </c>
      <c r="D49">
        <v>758</v>
      </c>
      <c r="E49">
        <v>1130</v>
      </c>
    </row>
    <row r="50" spans="1:5">
      <c r="A50" t="s">
        <v>53</v>
      </c>
      <c r="C50">
        <v>142.5</v>
      </c>
      <c r="D50">
        <v>784</v>
      </c>
      <c r="E50">
        <v>1140</v>
      </c>
    </row>
    <row r="51" spans="1:5">
      <c r="A51" t="s">
        <v>54</v>
      </c>
      <c r="C51">
        <v>145.5</v>
      </c>
      <c r="D51">
        <v>785</v>
      </c>
      <c r="E51">
        <v>1125</v>
      </c>
    </row>
    <row r="52" spans="1:5">
      <c r="A52" t="s">
        <v>55</v>
      </c>
      <c r="C52">
        <v>145.5</v>
      </c>
      <c r="D52">
        <v>780</v>
      </c>
      <c r="E52">
        <v>1120</v>
      </c>
    </row>
    <row r="53" spans="1:5">
      <c r="A53" t="s">
        <v>56</v>
      </c>
      <c r="C53">
        <v>142</v>
      </c>
      <c r="D53">
        <v>782</v>
      </c>
      <c r="E53">
        <v>1130</v>
      </c>
    </row>
    <row r="54" spans="1:5">
      <c r="A54" t="s">
        <v>57</v>
      </c>
      <c r="C54">
        <v>148.5</v>
      </c>
      <c r="D54">
        <v>779</v>
      </c>
      <c r="E54">
        <v>1165</v>
      </c>
    </row>
    <row r="55" spans="1:5">
      <c r="A55" t="s">
        <v>58</v>
      </c>
      <c r="C55">
        <v>155.5</v>
      </c>
      <c r="D55">
        <v>769</v>
      </c>
      <c r="E55">
        <v>1160</v>
      </c>
    </row>
    <row r="56" spans="1:5">
      <c r="A56" t="s">
        <v>59</v>
      </c>
      <c r="C56">
        <v>150</v>
      </c>
      <c r="D56">
        <v>779</v>
      </c>
      <c r="E56">
        <v>1195</v>
      </c>
    </row>
    <row r="57" spans="1:5">
      <c r="A57" t="s">
        <v>60</v>
      </c>
      <c r="C57">
        <v>150.5</v>
      </c>
      <c r="D57">
        <v>770</v>
      </c>
      <c r="E57">
        <v>1160</v>
      </c>
    </row>
    <row r="58" spans="1:5">
      <c r="A58" t="s">
        <v>61</v>
      </c>
      <c r="C58">
        <v>159</v>
      </c>
      <c r="D58">
        <v>790</v>
      </c>
      <c r="E58">
        <v>1165</v>
      </c>
    </row>
    <row r="59" spans="1:5">
      <c r="A59" t="s">
        <v>62</v>
      </c>
      <c r="C59">
        <v>159</v>
      </c>
      <c r="D59">
        <v>780</v>
      </c>
      <c r="E59">
        <v>1160</v>
      </c>
    </row>
    <row r="60" spans="1:5">
      <c r="A60" t="s">
        <v>63</v>
      </c>
      <c r="C60">
        <v>158</v>
      </c>
      <c r="D60">
        <v>783</v>
      </c>
      <c r="E60">
        <v>1150</v>
      </c>
    </row>
    <row r="61" spans="1:5">
      <c r="A61" t="s">
        <v>64</v>
      </c>
      <c r="C61">
        <v>158</v>
      </c>
      <c r="D61">
        <v>819</v>
      </c>
      <c r="E61">
        <v>1160</v>
      </c>
    </row>
    <row r="62" spans="1:5">
      <c r="A62" t="s">
        <v>65</v>
      </c>
      <c r="C62">
        <v>154.5</v>
      </c>
      <c r="D62">
        <v>815</v>
      </c>
      <c r="E62">
        <v>1195</v>
      </c>
    </row>
    <row r="63" spans="1:5">
      <c r="A63" t="s">
        <v>66</v>
      </c>
      <c r="C63">
        <v>150</v>
      </c>
      <c r="D63">
        <v>820</v>
      </c>
      <c r="E63">
        <v>1200</v>
      </c>
    </row>
    <row r="64" spans="1:5">
      <c r="A64" t="s">
        <v>67</v>
      </c>
      <c r="C64">
        <v>150.5</v>
      </c>
      <c r="D64">
        <v>818</v>
      </c>
      <c r="E64">
        <v>1180</v>
      </c>
    </row>
    <row r="65" spans="1:5">
      <c r="A65" t="s">
        <v>68</v>
      </c>
      <c r="C65">
        <v>146</v>
      </c>
      <c r="D65">
        <v>806</v>
      </c>
      <c r="E65">
        <v>1110</v>
      </c>
    </row>
    <row r="66" spans="1:5">
      <c r="A66" t="s">
        <v>69</v>
      </c>
      <c r="C66">
        <v>141</v>
      </c>
      <c r="D66">
        <v>788</v>
      </c>
      <c r="E66">
        <v>1055</v>
      </c>
    </row>
    <row r="67" spans="1:5">
      <c r="A67" t="s">
        <v>70</v>
      </c>
      <c r="C67">
        <v>146.5</v>
      </c>
      <c r="D67">
        <v>804</v>
      </c>
      <c r="E67">
        <v>1050</v>
      </c>
    </row>
    <row r="68" spans="1:5">
      <c r="A68" t="s">
        <v>71</v>
      </c>
      <c r="C68">
        <v>148</v>
      </c>
      <c r="D68">
        <v>804</v>
      </c>
      <c r="E68">
        <v>1050</v>
      </c>
    </row>
    <row r="69" spans="1:5">
      <c r="A69" t="s">
        <v>72</v>
      </c>
      <c r="C69">
        <v>143</v>
      </c>
      <c r="D69">
        <v>750</v>
      </c>
      <c r="E69">
        <v>993</v>
      </c>
    </row>
    <row r="70" spans="1:5">
      <c r="A70" t="s">
        <v>73</v>
      </c>
      <c r="C70">
        <v>143</v>
      </c>
      <c r="D70">
        <v>742</v>
      </c>
      <c r="E70">
        <v>966</v>
      </c>
    </row>
    <row r="71" spans="1:5">
      <c r="A71" t="s">
        <v>74</v>
      </c>
      <c r="C71">
        <v>144</v>
      </c>
      <c r="D71">
        <v>754</v>
      </c>
      <c r="E71">
        <v>972</v>
      </c>
    </row>
    <row r="72" spans="1:5">
      <c r="A72" t="s">
        <v>75</v>
      </c>
      <c r="C72">
        <v>156</v>
      </c>
      <c r="D72">
        <v>783</v>
      </c>
      <c r="E72">
        <v>1010</v>
      </c>
    </row>
    <row r="73" spans="1:5">
      <c r="A73" t="s">
        <v>76</v>
      </c>
      <c r="C73">
        <v>151.5</v>
      </c>
      <c r="D73">
        <v>766</v>
      </c>
      <c r="E73">
        <v>981</v>
      </c>
    </row>
    <row r="74" spans="1:5">
      <c r="A74" t="s">
        <v>77</v>
      </c>
      <c r="C74">
        <v>155</v>
      </c>
      <c r="D74">
        <v>782</v>
      </c>
      <c r="E74">
        <v>1005</v>
      </c>
    </row>
    <row r="75" spans="1:5">
      <c r="A75" t="s">
        <v>78</v>
      </c>
      <c r="C75">
        <v>158.5</v>
      </c>
      <c r="D75">
        <v>795</v>
      </c>
      <c r="E75">
        <v>1015</v>
      </c>
    </row>
    <row r="76" spans="1:5">
      <c r="A76" t="s">
        <v>79</v>
      </c>
      <c r="C76">
        <v>156</v>
      </c>
      <c r="D76">
        <v>790</v>
      </c>
      <c r="E76">
        <v>992</v>
      </c>
    </row>
    <row r="77" spans="1:5">
      <c r="A77" t="s">
        <v>80</v>
      </c>
      <c r="C77">
        <v>154</v>
      </c>
      <c r="D77">
        <v>772</v>
      </c>
      <c r="E77">
        <v>1000</v>
      </c>
    </row>
    <row r="78" spans="1:5">
      <c r="A78" t="s">
        <v>81</v>
      </c>
      <c r="C78">
        <v>156</v>
      </c>
      <c r="D78">
        <v>780</v>
      </c>
      <c r="E78">
        <v>1040</v>
      </c>
    </row>
    <row r="79" spans="1:5">
      <c r="A79" t="s">
        <v>82</v>
      </c>
      <c r="C79">
        <v>167.5</v>
      </c>
      <c r="D79">
        <v>786</v>
      </c>
      <c r="E79">
        <v>1035</v>
      </c>
    </row>
    <row r="80" spans="1:5">
      <c r="A80" t="s">
        <v>83</v>
      </c>
      <c r="C80">
        <v>169.5</v>
      </c>
      <c r="D80">
        <v>800</v>
      </c>
      <c r="E80">
        <v>1045</v>
      </c>
    </row>
    <row r="81" spans="1:5">
      <c r="A81" t="s">
        <v>84</v>
      </c>
      <c r="C81">
        <v>169.5</v>
      </c>
      <c r="D81">
        <v>802</v>
      </c>
      <c r="E81">
        <v>1095</v>
      </c>
    </row>
    <row r="82" spans="1:5">
      <c r="A82" t="s">
        <v>85</v>
      </c>
      <c r="C82">
        <v>170.5</v>
      </c>
      <c r="D82">
        <v>796</v>
      </c>
      <c r="E82">
        <v>1095</v>
      </c>
    </row>
    <row r="83" spans="1:5">
      <c r="A83" t="s">
        <v>86</v>
      </c>
      <c r="C83">
        <v>169.5</v>
      </c>
      <c r="D83">
        <v>802</v>
      </c>
      <c r="E83">
        <v>1095</v>
      </c>
    </row>
    <row r="84" spans="1:5">
      <c r="A84" t="s">
        <v>87</v>
      </c>
      <c r="C84">
        <v>169.5</v>
      </c>
      <c r="D84">
        <v>819</v>
      </c>
      <c r="E84">
        <v>1115</v>
      </c>
    </row>
    <row r="85" spans="1:5">
      <c r="A85" t="s">
        <v>88</v>
      </c>
      <c r="C85">
        <v>172</v>
      </c>
      <c r="D85">
        <v>825</v>
      </c>
      <c r="E85">
        <v>1155</v>
      </c>
    </row>
    <row r="86" spans="1:5">
      <c r="A86" t="s">
        <v>89</v>
      </c>
      <c r="C86">
        <v>170.5</v>
      </c>
      <c r="D86">
        <v>839</v>
      </c>
      <c r="E86">
        <v>1155</v>
      </c>
    </row>
    <row r="87" spans="1:5">
      <c r="A87" t="s">
        <v>90</v>
      </c>
      <c r="C87">
        <v>171.5</v>
      </c>
      <c r="D87">
        <v>841</v>
      </c>
      <c r="E87">
        <v>1190</v>
      </c>
    </row>
    <row r="88" spans="1:5">
      <c r="A88" t="s">
        <v>91</v>
      </c>
      <c r="C88">
        <v>170</v>
      </c>
      <c r="D88">
        <v>835</v>
      </c>
      <c r="E88">
        <v>1165</v>
      </c>
    </row>
    <row r="89" spans="1:5">
      <c r="A89" t="s">
        <v>92</v>
      </c>
      <c r="C89">
        <v>167.5</v>
      </c>
      <c r="D89">
        <v>835</v>
      </c>
      <c r="E89">
        <v>1190</v>
      </c>
    </row>
    <row r="90" spans="1:5">
      <c r="A90" t="s">
        <v>93</v>
      </c>
      <c r="C90">
        <v>166</v>
      </c>
      <c r="D90">
        <v>841</v>
      </c>
      <c r="E90">
        <v>1175</v>
      </c>
    </row>
    <row r="91" spans="1:5">
      <c r="A91" t="s">
        <v>94</v>
      </c>
      <c r="C91">
        <v>169</v>
      </c>
      <c r="D91">
        <v>864</v>
      </c>
      <c r="E91">
        <v>1185</v>
      </c>
    </row>
    <row r="92" spans="1:5">
      <c r="A92" t="s">
        <v>95</v>
      </c>
      <c r="C92">
        <v>173</v>
      </c>
      <c r="D92">
        <v>875</v>
      </c>
      <c r="E92">
        <v>1205</v>
      </c>
    </row>
    <row r="93" spans="1:5">
      <c r="A93" t="s">
        <v>96</v>
      </c>
      <c r="C93">
        <v>176</v>
      </c>
      <c r="D93">
        <v>867</v>
      </c>
      <c r="E93">
        <v>1195</v>
      </c>
    </row>
    <row r="94" spans="1:5">
      <c r="A94" t="s">
        <v>97</v>
      </c>
      <c r="C94">
        <v>185</v>
      </c>
      <c r="D94">
        <v>869</v>
      </c>
      <c r="E94">
        <v>1285</v>
      </c>
    </row>
    <row r="95" spans="1:5">
      <c r="A95" t="s">
        <v>98</v>
      </c>
      <c r="C95">
        <v>185.5</v>
      </c>
      <c r="D95">
        <v>865</v>
      </c>
      <c r="E95">
        <v>1310</v>
      </c>
    </row>
    <row r="96" spans="1:5">
      <c r="A96" t="s">
        <v>99</v>
      </c>
      <c r="C96">
        <v>180.5</v>
      </c>
      <c r="D96">
        <v>857</v>
      </c>
      <c r="E96">
        <v>1290</v>
      </c>
    </row>
    <row r="97" spans="1:5">
      <c r="A97" t="s">
        <v>100</v>
      </c>
      <c r="C97">
        <v>176.5</v>
      </c>
      <c r="D97">
        <v>838</v>
      </c>
      <c r="E97">
        <v>1290</v>
      </c>
    </row>
    <row r="98" spans="1:5">
      <c r="A98" t="s">
        <v>101</v>
      </c>
      <c r="C98">
        <v>172</v>
      </c>
      <c r="D98">
        <v>821</v>
      </c>
      <c r="E98">
        <v>1235</v>
      </c>
    </row>
    <row r="99" spans="1:5">
      <c r="A99" t="s">
        <v>102</v>
      </c>
      <c r="C99">
        <v>176.5</v>
      </c>
      <c r="D99">
        <v>846</v>
      </c>
      <c r="E99">
        <v>1270</v>
      </c>
    </row>
    <row r="100" spans="1:5">
      <c r="A100" t="s">
        <v>103</v>
      </c>
      <c r="C100">
        <v>171</v>
      </c>
      <c r="D100">
        <v>839</v>
      </c>
      <c r="E100">
        <v>1240</v>
      </c>
    </row>
    <row r="101" spans="1:5">
      <c r="A101" t="s">
        <v>104</v>
      </c>
      <c r="C101">
        <v>175.5</v>
      </c>
      <c r="D101">
        <v>854</v>
      </c>
      <c r="E101">
        <v>1230</v>
      </c>
    </row>
    <row r="102" spans="1:5">
      <c r="A102" t="s">
        <v>105</v>
      </c>
      <c r="C102">
        <v>177.5</v>
      </c>
      <c r="D102">
        <v>894</v>
      </c>
      <c r="E102">
        <v>1290</v>
      </c>
    </row>
    <row r="103" spans="1:5">
      <c r="A103" t="s">
        <v>106</v>
      </c>
      <c r="C103">
        <v>177.5</v>
      </c>
      <c r="D103">
        <v>879</v>
      </c>
      <c r="E103">
        <v>1275</v>
      </c>
    </row>
    <row r="104" spans="1:5">
      <c r="A104" t="s">
        <v>107</v>
      </c>
      <c r="C104">
        <v>180.5</v>
      </c>
      <c r="D104">
        <v>883</v>
      </c>
      <c r="E104">
        <v>1270</v>
      </c>
    </row>
    <row r="105" spans="1:5">
      <c r="A105" t="s">
        <v>108</v>
      </c>
      <c r="C105">
        <v>187.5</v>
      </c>
      <c r="D105">
        <v>909</v>
      </c>
      <c r="E105">
        <v>1300</v>
      </c>
    </row>
    <row r="106" spans="1:5">
      <c r="A106" t="s">
        <v>109</v>
      </c>
      <c r="C106">
        <v>192</v>
      </c>
      <c r="D106">
        <v>919</v>
      </c>
      <c r="E106">
        <v>1385</v>
      </c>
    </row>
    <row r="107" spans="1:5">
      <c r="A107" t="s">
        <v>110</v>
      </c>
      <c r="C107">
        <v>198</v>
      </c>
      <c r="D107">
        <v>922</v>
      </c>
      <c r="E107">
        <v>1395</v>
      </c>
    </row>
    <row r="108" spans="1:5">
      <c r="A108" t="s">
        <v>111</v>
      </c>
      <c r="C108">
        <v>200</v>
      </c>
      <c r="D108">
        <v>921</v>
      </c>
      <c r="E108">
        <v>1380</v>
      </c>
    </row>
    <row r="109" spans="1:5">
      <c r="A109" t="s">
        <v>112</v>
      </c>
      <c r="C109">
        <v>198.5</v>
      </c>
      <c r="D109">
        <v>943</v>
      </c>
      <c r="E109">
        <v>1405</v>
      </c>
    </row>
    <row r="110" spans="1:5">
      <c r="A110" t="s">
        <v>113</v>
      </c>
      <c r="C110">
        <v>203</v>
      </c>
      <c r="D110">
        <v>981</v>
      </c>
      <c r="E110">
        <v>1485</v>
      </c>
    </row>
    <row r="111" spans="1:5">
      <c r="A111" t="s">
        <v>114</v>
      </c>
      <c r="C111">
        <v>217.5</v>
      </c>
      <c r="D111">
        <v>981</v>
      </c>
      <c r="E111">
        <v>1500</v>
      </c>
    </row>
    <row r="112" spans="1:5">
      <c r="A112" t="s">
        <v>115</v>
      </c>
      <c r="C112">
        <v>212</v>
      </c>
      <c r="D112">
        <v>970</v>
      </c>
      <c r="E112">
        <v>1490</v>
      </c>
    </row>
    <row r="113" spans="1:5">
      <c r="A113" t="s">
        <v>116</v>
      </c>
      <c r="C113">
        <v>206</v>
      </c>
      <c r="D113">
        <v>940</v>
      </c>
      <c r="E113">
        <v>1410</v>
      </c>
    </row>
    <row r="114" spans="1:5">
      <c r="A114" t="s">
        <v>117</v>
      </c>
      <c r="C114">
        <v>211</v>
      </c>
      <c r="D114">
        <v>945</v>
      </c>
      <c r="E114">
        <v>1385</v>
      </c>
    </row>
    <row r="115" spans="1:5">
      <c r="A115" t="s">
        <v>118</v>
      </c>
      <c r="C115">
        <v>210</v>
      </c>
      <c r="D115">
        <v>960</v>
      </c>
      <c r="E115">
        <v>1405</v>
      </c>
    </row>
    <row r="116" spans="1:5">
      <c r="A116" t="s">
        <v>119</v>
      </c>
      <c r="C116">
        <v>212.5</v>
      </c>
      <c r="D116">
        <v>960</v>
      </c>
      <c r="E116">
        <v>1395</v>
      </c>
    </row>
    <row r="117" spans="1:5">
      <c r="A117" t="s">
        <v>120</v>
      </c>
      <c r="C117">
        <v>214</v>
      </c>
      <c r="D117">
        <v>966</v>
      </c>
      <c r="E117">
        <v>1400</v>
      </c>
    </row>
    <row r="118" spans="1:5">
      <c r="A118" t="s">
        <v>121</v>
      </c>
      <c r="C118">
        <v>216</v>
      </c>
      <c r="D118">
        <v>968</v>
      </c>
      <c r="E118">
        <v>1415</v>
      </c>
    </row>
    <row r="119" spans="1:5">
      <c r="A119" t="s">
        <v>122</v>
      </c>
      <c r="C119">
        <v>204.5</v>
      </c>
      <c r="D119">
        <v>960</v>
      </c>
      <c r="E119">
        <v>1410</v>
      </c>
    </row>
    <row r="120" spans="1:5">
      <c r="A120" t="s">
        <v>123</v>
      </c>
      <c r="C120">
        <v>203</v>
      </c>
      <c r="D120">
        <v>979</v>
      </c>
      <c r="E120">
        <v>1405</v>
      </c>
    </row>
    <row r="121" spans="1:5">
      <c r="A121" t="s">
        <v>124</v>
      </c>
      <c r="C121">
        <v>214.5</v>
      </c>
      <c r="D121">
        <v>1005</v>
      </c>
      <c r="E121">
        <v>1375</v>
      </c>
    </row>
    <row r="122" spans="1:5">
      <c r="A122" t="s">
        <v>125</v>
      </c>
      <c r="C122">
        <v>214.5</v>
      </c>
      <c r="D122">
        <v>1005</v>
      </c>
      <c r="E122">
        <v>1350</v>
      </c>
    </row>
    <row r="123" spans="1:5">
      <c r="A123" t="s">
        <v>126</v>
      </c>
      <c r="C123">
        <v>226.5</v>
      </c>
      <c r="D123">
        <v>1035</v>
      </c>
      <c r="E123">
        <v>1420</v>
      </c>
    </row>
    <row r="124" spans="1:5">
      <c r="A124" t="s">
        <v>127</v>
      </c>
      <c r="C124">
        <v>225.5</v>
      </c>
      <c r="D124">
        <v>1040</v>
      </c>
      <c r="E124">
        <v>1460</v>
      </c>
    </row>
    <row r="125" spans="1:5">
      <c r="A125" t="s">
        <v>128</v>
      </c>
      <c r="C125">
        <v>223.5</v>
      </c>
      <c r="D125">
        <v>1045</v>
      </c>
      <c r="E125">
        <v>1435</v>
      </c>
    </row>
    <row r="126" spans="1:5">
      <c r="A126" t="s">
        <v>129</v>
      </c>
      <c r="C126">
        <v>225.5</v>
      </c>
      <c r="D126">
        <v>1080</v>
      </c>
      <c r="E126">
        <v>1420</v>
      </c>
    </row>
    <row r="127" spans="1:5">
      <c r="A127" t="s">
        <v>130</v>
      </c>
      <c r="C127">
        <v>216</v>
      </c>
      <c r="D127">
        <v>1040</v>
      </c>
      <c r="E127">
        <v>1360</v>
      </c>
    </row>
    <row r="128" spans="1:5">
      <c r="A128" t="s">
        <v>131</v>
      </c>
      <c r="C128">
        <v>216.5</v>
      </c>
      <c r="D128">
        <v>1040</v>
      </c>
      <c r="E128">
        <v>1355</v>
      </c>
    </row>
    <row r="129" spans="1:5">
      <c r="A129" t="s">
        <v>132</v>
      </c>
      <c r="C129">
        <v>213</v>
      </c>
      <c r="D129">
        <v>1055</v>
      </c>
      <c r="E129">
        <v>1345</v>
      </c>
    </row>
    <row r="130" spans="1:5">
      <c r="A130" t="s">
        <v>133</v>
      </c>
      <c r="C130">
        <v>212</v>
      </c>
      <c r="D130">
        <v>1030</v>
      </c>
      <c r="E130">
        <v>1325</v>
      </c>
    </row>
    <row r="131" spans="1:5">
      <c r="A131" t="s">
        <v>134</v>
      </c>
      <c r="C131">
        <v>204</v>
      </c>
      <c r="D131">
        <v>1005</v>
      </c>
      <c r="E131">
        <v>1280</v>
      </c>
    </row>
    <row r="132" spans="1:5">
      <c r="A132" t="s">
        <v>135</v>
      </c>
      <c r="C132">
        <v>204</v>
      </c>
      <c r="D132">
        <v>970</v>
      </c>
      <c r="E132">
        <v>1260</v>
      </c>
    </row>
    <row r="133" spans="1:5">
      <c r="A133" t="s">
        <v>136</v>
      </c>
      <c r="C133">
        <v>192.5</v>
      </c>
      <c r="D133">
        <v>939</v>
      </c>
      <c r="E133">
        <v>1225</v>
      </c>
    </row>
    <row r="134" spans="1:5">
      <c r="A134" t="s">
        <v>137</v>
      </c>
      <c r="C134">
        <v>201.5</v>
      </c>
      <c r="D134">
        <v>979</v>
      </c>
      <c r="E134">
        <v>1275</v>
      </c>
    </row>
    <row r="135" spans="1:5">
      <c r="A135" t="s">
        <v>138</v>
      </c>
      <c r="C135">
        <v>192</v>
      </c>
      <c r="D135">
        <v>924</v>
      </c>
      <c r="E135">
        <v>1245</v>
      </c>
    </row>
    <row r="136" spans="1:5">
      <c r="A136" t="s">
        <v>139</v>
      </c>
      <c r="C136">
        <v>193</v>
      </c>
      <c r="D136">
        <v>944</v>
      </c>
      <c r="E136">
        <v>1240</v>
      </c>
    </row>
    <row r="137" spans="1:5">
      <c r="A137" t="s">
        <v>140</v>
      </c>
      <c r="C137">
        <v>196</v>
      </c>
      <c r="D137">
        <v>940</v>
      </c>
      <c r="E137">
        <v>1255</v>
      </c>
    </row>
    <row r="138" spans="1:5">
      <c r="A138" t="s">
        <v>141</v>
      </c>
      <c r="C138">
        <v>198</v>
      </c>
      <c r="D138">
        <v>934</v>
      </c>
      <c r="E138">
        <v>1220</v>
      </c>
    </row>
    <row r="139" spans="1:5">
      <c r="A139" t="s">
        <v>142</v>
      </c>
      <c r="C139">
        <v>202.5</v>
      </c>
      <c r="D139">
        <v>960</v>
      </c>
      <c r="E139">
        <v>1180</v>
      </c>
    </row>
    <row r="140" spans="1:5">
      <c r="A140" t="s">
        <v>143</v>
      </c>
      <c r="C140">
        <v>186.5</v>
      </c>
      <c r="D140">
        <v>903</v>
      </c>
      <c r="E140">
        <v>1090</v>
      </c>
    </row>
    <row r="141" spans="1:5">
      <c r="A141" t="s">
        <v>144</v>
      </c>
      <c r="C141">
        <v>168</v>
      </c>
      <c r="D141">
        <v>815</v>
      </c>
      <c r="E141">
        <v>991</v>
      </c>
    </row>
    <row r="142" spans="1:5">
      <c r="A142" t="s">
        <v>145</v>
      </c>
      <c r="C142">
        <v>167.5</v>
      </c>
      <c r="D142">
        <v>880</v>
      </c>
      <c r="E142">
        <v>1075</v>
      </c>
    </row>
    <row r="143" spans="1:5">
      <c r="A143" t="s">
        <v>146</v>
      </c>
      <c r="C143">
        <v>170.5</v>
      </c>
      <c r="D143">
        <v>920</v>
      </c>
      <c r="E143">
        <v>1150</v>
      </c>
    </row>
    <row r="144" spans="1:5">
      <c r="A144" t="s">
        <v>147</v>
      </c>
      <c r="C144">
        <v>163.5</v>
      </c>
      <c r="D144">
        <v>896</v>
      </c>
      <c r="E144">
        <v>1115</v>
      </c>
    </row>
    <row r="145" spans="1:5">
      <c r="A145" t="s">
        <v>148</v>
      </c>
      <c r="C145">
        <v>168.5</v>
      </c>
      <c r="D145">
        <v>934</v>
      </c>
      <c r="E145">
        <v>1125</v>
      </c>
    </row>
    <row r="146" spans="1:5">
      <c r="A146" t="s">
        <v>149</v>
      </c>
      <c r="C146">
        <v>176</v>
      </c>
      <c r="D146">
        <v>940</v>
      </c>
      <c r="E146">
        <v>1175</v>
      </c>
    </row>
    <row r="147" spans="1:5">
      <c r="A147" t="s">
        <v>150</v>
      </c>
      <c r="C147">
        <v>181</v>
      </c>
      <c r="D147">
        <v>941</v>
      </c>
      <c r="E147">
        <v>1160</v>
      </c>
    </row>
    <row r="148" spans="1:5">
      <c r="A148" t="s">
        <v>151</v>
      </c>
      <c r="C148">
        <v>185.5</v>
      </c>
      <c r="D148">
        <v>948</v>
      </c>
      <c r="E148">
        <v>1185</v>
      </c>
    </row>
    <row r="149" spans="1:5">
      <c r="A149" t="s">
        <v>152</v>
      </c>
      <c r="C149">
        <v>181</v>
      </c>
      <c r="D149">
        <v>943</v>
      </c>
      <c r="E149">
        <v>1155</v>
      </c>
    </row>
    <row r="150" spans="1:5">
      <c r="A150" t="s">
        <v>153</v>
      </c>
      <c r="C150">
        <v>184</v>
      </c>
      <c r="D150">
        <v>969</v>
      </c>
      <c r="E150">
        <v>1230</v>
      </c>
    </row>
    <row r="151" spans="1:5">
      <c r="A151" t="s">
        <v>154</v>
      </c>
      <c r="C151">
        <v>187</v>
      </c>
      <c r="D151">
        <v>973</v>
      </c>
      <c r="E151">
        <v>1255</v>
      </c>
    </row>
    <row r="152" spans="1:5">
      <c r="A152" t="s">
        <v>155</v>
      </c>
      <c r="C152">
        <v>186.5</v>
      </c>
      <c r="D152">
        <v>973</v>
      </c>
      <c r="E152">
        <v>1250</v>
      </c>
    </row>
    <row r="153" spans="1:5">
      <c r="A153" t="s">
        <v>156</v>
      </c>
      <c r="C153">
        <v>183.5</v>
      </c>
      <c r="D153">
        <v>958</v>
      </c>
      <c r="E153">
        <v>1220</v>
      </c>
    </row>
    <row r="154" spans="1:5">
      <c r="A154" t="s">
        <v>157</v>
      </c>
      <c r="C154">
        <v>179.5</v>
      </c>
      <c r="D154">
        <v>951</v>
      </c>
      <c r="E154">
        <v>1230</v>
      </c>
    </row>
    <row r="155" spans="1:5">
      <c r="A155" t="s">
        <v>158</v>
      </c>
      <c r="C155">
        <v>180</v>
      </c>
      <c r="D155">
        <v>949</v>
      </c>
      <c r="E155">
        <v>1225</v>
      </c>
    </row>
    <row r="156" spans="1:5">
      <c r="A156" t="s">
        <v>159</v>
      </c>
      <c r="C156">
        <v>182</v>
      </c>
      <c r="D156">
        <v>950</v>
      </c>
      <c r="E156">
        <v>1215</v>
      </c>
    </row>
    <row r="157" spans="1:5">
      <c r="A157" t="s">
        <v>160</v>
      </c>
      <c r="C157">
        <v>180.5</v>
      </c>
      <c r="D157">
        <v>942</v>
      </c>
      <c r="E157">
        <v>1210</v>
      </c>
    </row>
    <row r="158" spans="1:5">
      <c r="A158" t="s">
        <v>161</v>
      </c>
      <c r="C158">
        <v>185.5</v>
      </c>
      <c r="D158">
        <v>964</v>
      </c>
      <c r="E158">
        <v>1200</v>
      </c>
    </row>
    <row r="159" spans="1:5">
      <c r="A159" t="s">
        <v>162</v>
      </c>
      <c r="C159">
        <v>184.5</v>
      </c>
      <c r="D159">
        <v>943</v>
      </c>
      <c r="E159">
        <v>1250</v>
      </c>
    </row>
    <row r="160" spans="1:5">
      <c r="A160" t="s">
        <v>163</v>
      </c>
      <c r="C160">
        <v>184.5</v>
      </c>
      <c r="D160">
        <v>944</v>
      </c>
      <c r="E160">
        <v>1240</v>
      </c>
    </row>
    <row r="161" spans="1:5">
      <c r="A161" t="s">
        <v>164</v>
      </c>
      <c r="C161">
        <v>183</v>
      </c>
      <c r="D161">
        <v>948</v>
      </c>
      <c r="E161">
        <v>1225</v>
      </c>
    </row>
    <row r="162" spans="1:5">
      <c r="A162" t="s">
        <v>165</v>
      </c>
      <c r="C162">
        <v>185</v>
      </c>
      <c r="D162">
        <v>940</v>
      </c>
      <c r="E162">
        <v>1220</v>
      </c>
    </row>
    <row r="163" spans="1:5">
      <c r="A163" t="s">
        <v>166</v>
      </c>
      <c r="C163">
        <v>179.5</v>
      </c>
      <c r="D163">
        <v>889</v>
      </c>
      <c r="E163">
        <v>1135</v>
      </c>
    </row>
    <row r="164" spans="1:5">
      <c r="A164" t="s">
        <v>167</v>
      </c>
      <c r="C164">
        <v>175</v>
      </c>
      <c r="D164">
        <v>902</v>
      </c>
      <c r="E164">
        <v>1110</v>
      </c>
    </row>
    <row r="165" spans="1:5">
      <c r="A165" t="s">
        <v>168</v>
      </c>
      <c r="C165">
        <v>176.5</v>
      </c>
      <c r="D165">
        <v>918</v>
      </c>
      <c r="E165">
        <v>1145</v>
      </c>
    </row>
    <row r="166" spans="1:5">
      <c r="A166" t="s">
        <v>169</v>
      </c>
      <c r="C166">
        <v>172</v>
      </c>
      <c r="D166">
        <v>899</v>
      </c>
      <c r="E166">
        <v>1105</v>
      </c>
    </row>
    <row r="167" spans="1:5">
      <c r="A167" t="s">
        <v>170</v>
      </c>
      <c r="C167">
        <v>169</v>
      </c>
      <c r="D167">
        <v>904</v>
      </c>
      <c r="E167">
        <v>1130</v>
      </c>
    </row>
    <row r="168" spans="1:5">
      <c r="A168" t="s">
        <v>171</v>
      </c>
      <c r="C168">
        <v>169.5</v>
      </c>
      <c r="D168">
        <v>901</v>
      </c>
      <c r="E168">
        <v>1110</v>
      </c>
    </row>
    <row r="169" spans="1:5">
      <c r="A169" t="s">
        <v>172</v>
      </c>
      <c r="C169">
        <v>177.5</v>
      </c>
      <c r="D169">
        <v>940</v>
      </c>
      <c r="E169">
        <v>1155</v>
      </c>
    </row>
    <row r="170" spans="1:5">
      <c r="A170" t="s">
        <v>173</v>
      </c>
      <c r="C170">
        <v>176</v>
      </c>
      <c r="D170">
        <v>947</v>
      </c>
      <c r="E170">
        <v>1125</v>
      </c>
    </row>
    <row r="171" spans="1:5">
      <c r="A171" t="s">
        <v>174</v>
      </c>
      <c r="C171">
        <v>181</v>
      </c>
      <c r="D171">
        <v>947</v>
      </c>
      <c r="E171">
        <v>1130</v>
      </c>
    </row>
    <row r="172" spans="1:5">
      <c r="A172" t="s">
        <v>175</v>
      </c>
      <c r="C172">
        <v>174</v>
      </c>
      <c r="D172">
        <v>941</v>
      </c>
      <c r="E172">
        <v>1105</v>
      </c>
    </row>
    <row r="173" spans="1:5">
      <c r="A173" t="s">
        <v>176</v>
      </c>
      <c r="C173">
        <v>176.5</v>
      </c>
      <c r="D173">
        <v>960</v>
      </c>
      <c r="E173">
        <v>1120</v>
      </c>
    </row>
    <row r="174" spans="1:5">
      <c r="A174" t="s">
        <v>177</v>
      </c>
      <c r="C174">
        <v>177</v>
      </c>
      <c r="D174">
        <v>973</v>
      </c>
      <c r="E174">
        <v>1125</v>
      </c>
    </row>
    <row r="175" spans="1:5">
      <c r="A175" t="s">
        <v>178</v>
      </c>
      <c r="C175">
        <v>180</v>
      </c>
      <c r="D175">
        <v>977</v>
      </c>
      <c r="E175">
        <v>1145</v>
      </c>
    </row>
    <row r="176" spans="1:5">
      <c r="A176" t="s">
        <v>179</v>
      </c>
      <c r="C176">
        <v>183</v>
      </c>
      <c r="D176">
        <v>987</v>
      </c>
      <c r="E176">
        <v>1195</v>
      </c>
    </row>
    <row r="177" spans="1:5">
      <c r="A177" t="s">
        <v>180</v>
      </c>
      <c r="C177">
        <v>188.5</v>
      </c>
      <c r="D177">
        <v>1005</v>
      </c>
      <c r="E177">
        <v>1225</v>
      </c>
    </row>
    <row r="178" spans="1:5">
      <c r="A178" t="s">
        <v>181</v>
      </c>
      <c r="C178">
        <v>189.5</v>
      </c>
      <c r="D178">
        <v>1015</v>
      </c>
      <c r="E178">
        <v>1270</v>
      </c>
    </row>
    <row r="179" spans="1:5">
      <c r="A179" t="s">
        <v>182</v>
      </c>
      <c r="C179">
        <v>191</v>
      </c>
      <c r="D179">
        <v>1000</v>
      </c>
      <c r="E179">
        <v>1260</v>
      </c>
    </row>
    <row r="180" spans="1:5">
      <c r="A180" t="s">
        <v>183</v>
      </c>
      <c r="C180">
        <v>187.5</v>
      </c>
      <c r="D180">
        <v>957</v>
      </c>
      <c r="E180">
        <v>1175</v>
      </c>
    </row>
    <row r="181" spans="1:5">
      <c r="A181" t="s">
        <v>184</v>
      </c>
      <c r="C181">
        <v>187</v>
      </c>
      <c r="D181">
        <v>972</v>
      </c>
      <c r="E181">
        <v>1210</v>
      </c>
    </row>
    <row r="182" spans="1:5">
      <c r="A182" t="s">
        <v>185</v>
      </c>
      <c r="C182">
        <v>194</v>
      </c>
      <c r="D182">
        <v>977</v>
      </c>
      <c r="E182">
        <v>1230</v>
      </c>
    </row>
    <row r="183" spans="1:5">
      <c r="A183" t="s">
        <v>186</v>
      </c>
      <c r="C183">
        <v>197.5</v>
      </c>
      <c r="D183">
        <v>1005</v>
      </c>
      <c r="E183">
        <v>1250</v>
      </c>
    </row>
    <row r="184" spans="1:5">
      <c r="A184" t="s">
        <v>187</v>
      </c>
      <c r="C184">
        <v>194</v>
      </c>
      <c r="D184">
        <v>1010</v>
      </c>
      <c r="E184">
        <v>1225</v>
      </c>
    </row>
    <row r="185" spans="1:5">
      <c r="A185" t="s">
        <v>188</v>
      </c>
      <c r="C185">
        <v>199</v>
      </c>
      <c r="D185">
        <v>1020</v>
      </c>
      <c r="E185">
        <v>1245</v>
      </c>
    </row>
    <row r="186" spans="1:5">
      <c r="A186" t="s">
        <v>189</v>
      </c>
      <c r="C186">
        <v>200</v>
      </c>
      <c r="D186">
        <v>1045</v>
      </c>
      <c r="E186">
        <v>1300</v>
      </c>
    </row>
    <row r="187" spans="1:5">
      <c r="A187" t="s">
        <v>190</v>
      </c>
      <c r="C187">
        <v>199</v>
      </c>
      <c r="D187">
        <v>1045</v>
      </c>
      <c r="E187">
        <v>1290</v>
      </c>
    </row>
    <row r="188" spans="1:5">
      <c r="A188" t="s">
        <v>191</v>
      </c>
      <c r="C188">
        <v>207</v>
      </c>
      <c r="D188">
        <v>1070</v>
      </c>
      <c r="E188">
        <v>1300</v>
      </c>
    </row>
    <row r="189" spans="1:5">
      <c r="A189" t="s">
        <v>192</v>
      </c>
      <c r="C189">
        <v>205</v>
      </c>
      <c r="D189">
        <v>1045</v>
      </c>
      <c r="E189">
        <v>1275</v>
      </c>
    </row>
    <row r="190" spans="1:5">
      <c r="A190" t="s">
        <v>193</v>
      </c>
      <c r="C190">
        <v>208.5</v>
      </c>
      <c r="D190">
        <v>1035</v>
      </c>
      <c r="E190">
        <v>1275</v>
      </c>
    </row>
    <row r="191" spans="1:5">
      <c r="A191" t="s">
        <v>194</v>
      </c>
      <c r="C191">
        <v>207.5</v>
      </c>
      <c r="D191">
        <v>1085</v>
      </c>
      <c r="E191">
        <v>1305</v>
      </c>
    </row>
    <row r="192" spans="1:5">
      <c r="A192" t="s">
        <v>195</v>
      </c>
      <c r="C192">
        <v>210</v>
      </c>
      <c r="D192">
        <v>1085</v>
      </c>
      <c r="E192">
        <v>1330</v>
      </c>
    </row>
    <row r="193" spans="1:5">
      <c r="A193" t="s">
        <v>196</v>
      </c>
      <c r="C193">
        <v>215.5</v>
      </c>
      <c r="D193">
        <v>1075</v>
      </c>
      <c r="E193">
        <v>1310</v>
      </c>
    </row>
    <row r="194" spans="1:5">
      <c r="A194" t="s">
        <v>197</v>
      </c>
      <c r="C194">
        <v>216</v>
      </c>
      <c r="D194">
        <v>1060</v>
      </c>
      <c r="E194">
        <v>1300</v>
      </c>
    </row>
    <row r="195" spans="1:5">
      <c r="A195" t="s">
        <v>198</v>
      </c>
      <c r="C195">
        <v>211.5</v>
      </c>
      <c r="D195">
        <v>1060</v>
      </c>
      <c r="E195">
        <v>1270</v>
      </c>
    </row>
    <row r="196" spans="1:5">
      <c r="A196" t="s">
        <v>199</v>
      </c>
      <c r="C196">
        <v>216</v>
      </c>
      <c r="D196">
        <v>1065</v>
      </c>
      <c r="E196">
        <v>1315</v>
      </c>
    </row>
    <row r="197" spans="1:5">
      <c r="A197" t="s">
        <v>200</v>
      </c>
      <c r="C197">
        <v>215</v>
      </c>
      <c r="D197">
        <v>1050</v>
      </c>
      <c r="E197">
        <v>1335</v>
      </c>
    </row>
    <row r="198" spans="1:5">
      <c r="A198" t="s">
        <v>201</v>
      </c>
      <c r="C198">
        <v>209.5</v>
      </c>
      <c r="D198">
        <v>1040</v>
      </c>
      <c r="E198">
        <v>1300</v>
      </c>
    </row>
    <row r="199" spans="1:5">
      <c r="A199" t="s">
        <v>202</v>
      </c>
      <c r="C199">
        <v>211.5</v>
      </c>
      <c r="D199">
        <v>1030</v>
      </c>
      <c r="E199">
        <v>1290</v>
      </c>
    </row>
    <row r="200" spans="1:5">
      <c r="A200" t="s">
        <v>203</v>
      </c>
      <c r="C200">
        <v>208</v>
      </c>
      <c r="D200">
        <v>1025</v>
      </c>
      <c r="E200">
        <v>1290</v>
      </c>
    </row>
    <row r="201" spans="1:5">
      <c r="A201" t="s">
        <v>204</v>
      </c>
      <c r="C201">
        <v>214</v>
      </c>
      <c r="D201">
        <v>1040</v>
      </c>
      <c r="E201">
        <v>1295</v>
      </c>
    </row>
    <row r="202" spans="1:5">
      <c r="A202" t="s">
        <v>205</v>
      </c>
      <c r="C202">
        <v>214</v>
      </c>
      <c r="D202">
        <v>1050</v>
      </c>
      <c r="E202">
        <v>1290</v>
      </c>
    </row>
    <row r="203" spans="1:5">
      <c r="A203" t="s">
        <v>206</v>
      </c>
      <c r="C203">
        <v>213.5</v>
      </c>
      <c r="D203">
        <v>1060</v>
      </c>
      <c r="E203">
        <v>1305</v>
      </c>
    </row>
    <row r="204" spans="1:5">
      <c r="A204" t="s">
        <v>207</v>
      </c>
      <c r="C204">
        <v>217</v>
      </c>
      <c r="D204">
        <v>1065</v>
      </c>
      <c r="E204">
        <v>1305</v>
      </c>
    </row>
    <row r="205" spans="1:5">
      <c r="A205" t="s">
        <v>208</v>
      </c>
      <c r="C205">
        <v>218</v>
      </c>
      <c r="D205">
        <v>1090</v>
      </c>
      <c r="E205">
        <v>1280</v>
      </c>
    </row>
    <row r="206" spans="1:5">
      <c r="A206" t="s">
        <v>209</v>
      </c>
      <c r="C206">
        <v>220</v>
      </c>
      <c r="D206">
        <v>1085</v>
      </c>
      <c r="E206">
        <v>1295</v>
      </c>
    </row>
    <row r="207" spans="1:5">
      <c r="A207" t="s">
        <v>210</v>
      </c>
      <c r="C207">
        <v>214</v>
      </c>
      <c r="D207">
        <v>1050</v>
      </c>
      <c r="E207">
        <v>1265</v>
      </c>
    </row>
    <row r="208" spans="1:5">
      <c r="A208" t="s">
        <v>211</v>
      </c>
      <c r="C208">
        <v>214.5</v>
      </c>
      <c r="D208">
        <v>1035</v>
      </c>
      <c r="E208">
        <v>1255</v>
      </c>
    </row>
    <row r="209" spans="1:5">
      <c r="A209" t="s">
        <v>212</v>
      </c>
      <c r="C209">
        <v>211.5</v>
      </c>
      <c r="D209">
        <v>1035</v>
      </c>
      <c r="E209">
        <v>1235</v>
      </c>
    </row>
    <row r="210" spans="1:5">
      <c r="A210" t="s">
        <v>213</v>
      </c>
      <c r="C210">
        <v>207</v>
      </c>
      <c r="D210">
        <v>1035</v>
      </c>
      <c r="E210">
        <v>1270</v>
      </c>
    </row>
    <row r="211" spans="1:5">
      <c r="A211" t="s">
        <v>214</v>
      </c>
      <c r="C211">
        <v>202.5</v>
      </c>
      <c r="D211">
        <v>1025</v>
      </c>
      <c r="E211">
        <v>1240</v>
      </c>
    </row>
    <row r="212" spans="1:5">
      <c r="A212" t="s">
        <v>215</v>
      </c>
      <c r="C212">
        <v>203.5</v>
      </c>
      <c r="D212">
        <v>1040</v>
      </c>
      <c r="E212">
        <v>1285</v>
      </c>
    </row>
    <row r="213" spans="1:5">
      <c r="A213" t="s">
        <v>216</v>
      </c>
      <c r="C213">
        <v>206</v>
      </c>
      <c r="D213">
        <v>1025</v>
      </c>
      <c r="E213">
        <v>1275</v>
      </c>
    </row>
    <row r="214" spans="1:5">
      <c r="A214" t="s">
        <v>217</v>
      </c>
      <c r="C214">
        <v>202.5</v>
      </c>
      <c r="D214">
        <v>1010</v>
      </c>
      <c r="E214">
        <v>1265</v>
      </c>
    </row>
    <row r="215" spans="1:5">
      <c r="A215" t="s">
        <v>218</v>
      </c>
      <c r="C215">
        <v>203</v>
      </c>
      <c r="D215">
        <v>1040</v>
      </c>
      <c r="E215">
        <v>1310</v>
      </c>
    </row>
    <row r="216" spans="1:5">
      <c r="A216" t="s">
        <v>219</v>
      </c>
      <c r="C216">
        <v>210.5</v>
      </c>
      <c r="D216">
        <v>1030</v>
      </c>
      <c r="E216">
        <v>1280</v>
      </c>
    </row>
    <row r="217" spans="1:5">
      <c r="A217" t="s">
        <v>220</v>
      </c>
      <c r="C217">
        <v>202.5</v>
      </c>
      <c r="D217">
        <v>1010</v>
      </c>
      <c r="E217">
        <v>1280</v>
      </c>
    </row>
    <row r="218" spans="1:5">
      <c r="A218" t="s">
        <v>221</v>
      </c>
      <c r="C218">
        <v>196.5</v>
      </c>
      <c r="D218">
        <v>1000</v>
      </c>
      <c r="E218">
        <v>1250</v>
      </c>
    </row>
    <row r="219" spans="1:5">
      <c r="A219" t="s">
        <v>222</v>
      </c>
      <c r="C219">
        <v>195.5</v>
      </c>
      <c r="D219">
        <v>1005</v>
      </c>
      <c r="E219">
        <v>1255</v>
      </c>
    </row>
    <row r="220" spans="1:5">
      <c r="A220" t="s">
        <v>223</v>
      </c>
      <c r="C220">
        <v>195.5</v>
      </c>
      <c r="D220">
        <v>996</v>
      </c>
      <c r="E220">
        <v>1255</v>
      </c>
    </row>
    <row r="221" spans="1:5">
      <c r="A221" t="s">
        <v>224</v>
      </c>
      <c r="C221">
        <v>196</v>
      </c>
      <c r="D221">
        <v>1035</v>
      </c>
      <c r="E221">
        <v>1310</v>
      </c>
    </row>
    <row r="222" spans="1:5">
      <c r="A222" t="s">
        <v>225</v>
      </c>
      <c r="C222">
        <v>196.5</v>
      </c>
      <c r="D222">
        <v>1055</v>
      </c>
      <c r="E222">
        <v>1315</v>
      </c>
    </row>
    <row r="223" spans="1:5">
      <c r="A223" t="s">
        <v>226</v>
      </c>
      <c r="C223">
        <v>201</v>
      </c>
      <c r="D223">
        <v>1070</v>
      </c>
      <c r="E223">
        <v>1320</v>
      </c>
    </row>
    <row r="224" spans="1:5">
      <c r="A224" t="s">
        <v>227</v>
      </c>
      <c r="C224">
        <v>199</v>
      </c>
      <c r="D224">
        <v>1075</v>
      </c>
      <c r="E224">
        <v>1325</v>
      </c>
    </row>
    <row r="225" spans="1:5">
      <c r="A225" t="s">
        <v>228</v>
      </c>
      <c r="C225">
        <v>198</v>
      </c>
      <c r="D225">
        <v>1065</v>
      </c>
      <c r="E225">
        <v>1305</v>
      </c>
    </row>
    <row r="226" spans="1:5">
      <c r="A226" t="s">
        <v>229</v>
      </c>
      <c r="C226">
        <v>195</v>
      </c>
      <c r="D226">
        <v>1075</v>
      </c>
      <c r="E226">
        <v>1325</v>
      </c>
    </row>
    <row r="227" spans="1:5">
      <c r="A227" t="s">
        <v>230</v>
      </c>
      <c r="C227">
        <v>192</v>
      </c>
      <c r="D227">
        <v>1065</v>
      </c>
      <c r="E227">
        <v>1350</v>
      </c>
    </row>
    <row r="228" spans="1:5">
      <c r="A228" t="s">
        <v>231</v>
      </c>
      <c r="C228">
        <v>189</v>
      </c>
      <c r="D228">
        <v>1045</v>
      </c>
      <c r="E228">
        <v>1350</v>
      </c>
    </row>
    <row r="229" spans="1:5">
      <c r="A229" t="s">
        <v>232</v>
      </c>
      <c r="C229">
        <v>188.5</v>
      </c>
      <c r="D229">
        <v>1060</v>
      </c>
      <c r="E229">
        <v>1380</v>
      </c>
    </row>
    <row r="230" spans="1:5">
      <c r="A230" t="s">
        <v>233</v>
      </c>
      <c r="C230">
        <v>186.5</v>
      </c>
      <c r="D230">
        <v>1065</v>
      </c>
      <c r="E230">
        <v>1410</v>
      </c>
    </row>
    <row r="231" spans="1:5">
      <c r="A231" t="s">
        <v>234</v>
      </c>
      <c r="C231">
        <v>182</v>
      </c>
      <c r="D231">
        <v>1085</v>
      </c>
      <c r="E231">
        <v>1385</v>
      </c>
    </row>
    <row r="232" spans="1:5">
      <c r="A232" t="s">
        <v>235</v>
      </c>
      <c r="C232">
        <v>183</v>
      </c>
      <c r="D232">
        <v>1075</v>
      </c>
      <c r="E232">
        <v>1425</v>
      </c>
    </row>
    <row r="233" spans="1:5">
      <c r="A233" t="s">
        <v>236</v>
      </c>
      <c r="C233">
        <v>184.5</v>
      </c>
      <c r="D233">
        <v>1085</v>
      </c>
      <c r="E233">
        <v>1420</v>
      </c>
    </row>
    <row r="234" spans="1:5">
      <c r="A234" t="s">
        <v>237</v>
      </c>
      <c r="C234">
        <v>181</v>
      </c>
      <c r="D234">
        <v>1070</v>
      </c>
      <c r="E234">
        <v>1420</v>
      </c>
    </row>
    <row r="235" spans="1:5">
      <c r="A235" t="s">
        <v>238</v>
      </c>
      <c r="C235">
        <v>181</v>
      </c>
      <c r="D235">
        <v>1035</v>
      </c>
      <c r="E235">
        <v>1390</v>
      </c>
    </row>
    <row r="236" spans="1:5">
      <c r="A236" t="s">
        <v>239</v>
      </c>
      <c r="C236">
        <v>185.5</v>
      </c>
      <c r="D236">
        <v>1080</v>
      </c>
      <c r="E236">
        <v>1410</v>
      </c>
    </row>
    <row r="237" spans="1:5">
      <c r="A237" t="s">
        <v>240</v>
      </c>
      <c r="C237">
        <v>185.5</v>
      </c>
      <c r="D237">
        <v>1080</v>
      </c>
      <c r="E237">
        <v>1405</v>
      </c>
    </row>
    <row r="238" spans="1:5">
      <c r="A238" t="s">
        <v>241</v>
      </c>
      <c r="C238">
        <v>186.5</v>
      </c>
      <c r="D238">
        <v>1085</v>
      </c>
      <c r="E238">
        <v>1410</v>
      </c>
    </row>
    <row r="239" spans="1:5">
      <c r="A239" t="s">
        <v>242</v>
      </c>
      <c r="C239">
        <v>187.5</v>
      </c>
      <c r="D239">
        <v>1085</v>
      </c>
      <c r="E239">
        <v>1420</v>
      </c>
    </row>
    <row r="240" spans="1:5">
      <c r="A240" t="s">
        <v>243</v>
      </c>
      <c r="C240">
        <v>186.5</v>
      </c>
      <c r="D240">
        <v>1090</v>
      </c>
      <c r="E240">
        <v>1430</v>
      </c>
    </row>
    <row r="241" spans="1:5">
      <c r="A241" t="s">
        <v>244</v>
      </c>
      <c r="C241">
        <v>185</v>
      </c>
      <c r="D241">
        <v>1090</v>
      </c>
      <c r="E241">
        <v>1420</v>
      </c>
    </row>
    <row r="242" spans="1:5">
      <c r="A242" t="s">
        <v>245</v>
      </c>
      <c r="C242">
        <v>184</v>
      </c>
      <c r="D242">
        <v>1075</v>
      </c>
      <c r="E242">
        <v>1415</v>
      </c>
    </row>
    <row r="243" spans="1:5">
      <c r="A243" t="s">
        <v>246</v>
      </c>
      <c r="C243">
        <v>182.5</v>
      </c>
      <c r="D243">
        <v>1065</v>
      </c>
      <c r="E243">
        <v>1350</v>
      </c>
    </row>
    <row r="244" spans="1:5">
      <c r="A244" t="s">
        <v>247</v>
      </c>
      <c r="C244">
        <v>181</v>
      </c>
      <c r="D244">
        <v>1075</v>
      </c>
      <c r="E244">
        <v>1365</v>
      </c>
    </row>
    <row r="245" spans="1:5">
      <c r="A245" t="s">
        <v>248</v>
      </c>
      <c r="C245">
        <v>184.5</v>
      </c>
      <c r="D245">
        <v>1125</v>
      </c>
      <c r="E245">
        <v>1425</v>
      </c>
    </row>
    <row r="246" spans="1:5">
      <c r="A246" t="s">
        <v>249</v>
      </c>
      <c r="C246">
        <v>190</v>
      </c>
      <c r="D246">
        <v>1130</v>
      </c>
      <c r="E246">
        <v>1490</v>
      </c>
    </row>
    <row r="247" spans="1:5">
      <c r="A247" t="s">
        <v>250</v>
      </c>
      <c r="C247">
        <v>188</v>
      </c>
      <c r="D247">
        <v>1105</v>
      </c>
      <c r="E247">
        <v>1470</v>
      </c>
    </row>
    <row r="248" spans="1:5">
      <c r="A248" t="s">
        <v>251</v>
      </c>
      <c r="C248">
        <v>183</v>
      </c>
      <c r="D248">
        <v>1100</v>
      </c>
      <c r="E248">
        <v>1440</v>
      </c>
    </row>
    <row r="249" spans="1:5">
      <c r="A249" t="s">
        <v>252</v>
      </c>
      <c r="C249">
        <v>181.5</v>
      </c>
      <c r="D249">
        <v>1100</v>
      </c>
      <c r="E249">
        <v>1465</v>
      </c>
    </row>
    <row r="250" spans="1:5">
      <c r="A250" t="s">
        <v>253</v>
      </c>
      <c r="C250">
        <v>171.5</v>
      </c>
      <c r="D250">
        <v>1075</v>
      </c>
      <c r="E250">
        <v>1390</v>
      </c>
    </row>
    <row r="251" spans="1:5">
      <c r="A251" t="s">
        <v>254</v>
      </c>
      <c r="C251">
        <v>174.5</v>
      </c>
      <c r="D251">
        <v>1090</v>
      </c>
      <c r="E251">
        <v>1400</v>
      </c>
    </row>
    <row r="252" spans="1:5">
      <c r="A252" t="s">
        <v>255</v>
      </c>
      <c r="C252">
        <v>171</v>
      </c>
      <c r="D252">
        <v>1065</v>
      </c>
      <c r="E252">
        <v>1420</v>
      </c>
    </row>
    <row r="253" spans="1:5">
      <c r="A253" t="s">
        <v>256</v>
      </c>
      <c r="C253">
        <v>173.5</v>
      </c>
      <c r="D253">
        <v>1105</v>
      </c>
      <c r="E253">
        <v>1460</v>
      </c>
    </row>
    <row r="254" spans="1:5">
      <c r="A254" t="s">
        <v>257</v>
      </c>
      <c r="C254">
        <v>173.5</v>
      </c>
      <c r="D254">
        <v>1120</v>
      </c>
      <c r="E254">
        <v>1430</v>
      </c>
    </row>
    <row r="255" spans="1:5">
      <c r="A255" t="s">
        <v>258</v>
      </c>
      <c r="C255">
        <v>178</v>
      </c>
      <c r="D255">
        <v>1120</v>
      </c>
      <c r="E255">
        <v>1445</v>
      </c>
    </row>
    <row r="256" spans="1:5">
      <c r="A256" t="s">
        <v>259</v>
      </c>
      <c r="C256">
        <v>178.5</v>
      </c>
      <c r="D256">
        <v>1120</v>
      </c>
      <c r="E256">
        <v>1465</v>
      </c>
    </row>
    <row r="257" spans="1:5">
      <c r="A257" t="s">
        <v>260</v>
      </c>
      <c r="C257">
        <v>180</v>
      </c>
      <c r="D257">
        <v>1135</v>
      </c>
      <c r="E257">
        <v>1465</v>
      </c>
    </row>
    <row r="258" spans="1:5">
      <c r="A258" t="s">
        <v>261</v>
      </c>
      <c r="C258">
        <v>165.5</v>
      </c>
      <c r="D258">
        <v>1070</v>
      </c>
      <c r="E258">
        <v>1500</v>
      </c>
    </row>
    <row r="259" spans="1:5">
      <c r="A259" t="s">
        <v>262</v>
      </c>
      <c r="C259">
        <v>165</v>
      </c>
      <c r="D259">
        <v>1095</v>
      </c>
      <c r="E259">
        <v>1490</v>
      </c>
    </row>
    <row r="260" spans="1:5">
      <c r="A260" t="s">
        <v>263</v>
      </c>
      <c r="C260">
        <v>171</v>
      </c>
      <c r="D260">
        <v>1110</v>
      </c>
      <c r="E260">
        <v>1525</v>
      </c>
    </row>
    <row r="261" spans="1:5">
      <c r="A261" t="s">
        <v>264</v>
      </c>
      <c r="C261">
        <v>173</v>
      </c>
      <c r="D261">
        <v>1115</v>
      </c>
      <c r="E261">
        <v>1525</v>
      </c>
    </row>
    <row r="262" spans="1:5">
      <c r="A262" t="s">
        <v>265</v>
      </c>
      <c r="C262">
        <v>178</v>
      </c>
      <c r="D262">
        <v>1125</v>
      </c>
      <c r="E262">
        <v>1525</v>
      </c>
    </row>
    <row r="263" spans="1:5">
      <c r="A263" t="s">
        <v>266</v>
      </c>
      <c r="C263">
        <v>174</v>
      </c>
      <c r="D263">
        <v>1105</v>
      </c>
      <c r="E263">
        <v>1480</v>
      </c>
    </row>
    <row r="264" spans="1:5">
      <c r="A264" t="s">
        <v>267</v>
      </c>
      <c r="C264">
        <v>179</v>
      </c>
      <c r="D264">
        <v>1110</v>
      </c>
      <c r="E264">
        <v>1510</v>
      </c>
    </row>
    <row r="265" spans="1:5">
      <c r="A265" t="s">
        <v>268</v>
      </c>
      <c r="C265">
        <v>177</v>
      </c>
      <c r="D265">
        <v>1100</v>
      </c>
      <c r="E265">
        <v>1485</v>
      </c>
    </row>
    <row r="266" spans="1:5">
      <c r="A266" t="s">
        <v>269</v>
      </c>
      <c r="C266">
        <v>180</v>
      </c>
      <c r="D266">
        <v>1090</v>
      </c>
      <c r="E266">
        <v>1520</v>
      </c>
    </row>
    <row r="267" spans="1:5">
      <c r="A267" t="s">
        <v>270</v>
      </c>
      <c r="C267">
        <v>178</v>
      </c>
      <c r="D267">
        <v>1060</v>
      </c>
      <c r="E267">
        <v>1505</v>
      </c>
    </row>
    <row r="268" spans="1:5">
      <c r="A268" t="s">
        <v>271</v>
      </c>
      <c r="C268">
        <v>182.5</v>
      </c>
      <c r="D268">
        <v>1085</v>
      </c>
      <c r="E268">
        <v>1545</v>
      </c>
    </row>
    <row r="269" spans="1:5">
      <c r="A269" t="s">
        <v>272</v>
      </c>
      <c r="C269">
        <v>183.5</v>
      </c>
      <c r="D269">
        <v>1100</v>
      </c>
      <c r="E269">
        <v>1535</v>
      </c>
    </row>
    <row r="270" spans="1:5">
      <c r="A270" t="s">
        <v>273</v>
      </c>
      <c r="C270">
        <v>183</v>
      </c>
      <c r="D270">
        <v>1090</v>
      </c>
      <c r="E270">
        <v>1540</v>
      </c>
    </row>
    <row r="271" spans="1:5">
      <c r="A271" t="s">
        <v>274</v>
      </c>
      <c r="C271">
        <v>182</v>
      </c>
      <c r="D271">
        <v>1080</v>
      </c>
      <c r="E271">
        <v>1500</v>
      </c>
    </row>
    <row r="272" spans="1:5">
      <c r="A272" t="s">
        <v>275</v>
      </c>
      <c r="C272">
        <v>183</v>
      </c>
      <c r="D272">
        <v>1095</v>
      </c>
      <c r="E272">
        <v>1510</v>
      </c>
    </row>
    <row r="273" spans="1:5">
      <c r="A273" t="s">
        <v>276</v>
      </c>
      <c r="C273">
        <v>184</v>
      </c>
      <c r="D273">
        <v>1075</v>
      </c>
      <c r="E273">
        <v>1545</v>
      </c>
    </row>
    <row r="274" spans="1:5">
      <c r="A274" t="s">
        <v>277</v>
      </c>
      <c r="C274">
        <v>177.5</v>
      </c>
      <c r="D274">
        <v>1055</v>
      </c>
      <c r="E274">
        <v>1550</v>
      </c>
    </row>
    <row r="275" spans="1:5">
      <c r="A275" t="s">
        <v>278</v>
      </c>
      <c r="C275">
        <v>180.5</v>
      </c>
      <c r="D275">
        <v>1060</v>
      </c>
      <c r="E275">
        <v>1560</v>
      </c>
    </row>
    <row r="276" spans="1:5">
      <c r="A276" t="s">
        <v>279</v>
      </c>
      <c r="C276">
        <v>174</v>
      </c>
      <c r="D276">
        <v>1040</v>
      </c>
      <c r="E276">
        <v>1515</v>
      </c>
    </row>
    <row r="277" spans="1:5">
      <c r="A277" t="s">
        <v>280</v>
      </c>
      <c r="C277">
        <v>170</v>
      </c>
      <c r="D277">
        <v>1020</v>
      </c>
      <c r="E277">
        <v>1470</v>
      </c>
    </row>
    <row r="278" spans="1:5">
      <c r="A278" t="s">
        <v>281</v>
      </c>
      <c r="C278">
        <v>170.5</v>
      </c>
      <c r="D278">
        <v>1000</v>
      </c>
      <c r="E278">
        <v>1505</v>
      </c>
    </row>
    <row r="279" spans="1:5">
      <c r="A279" t="s">
        <v>282</v>
      </c>
      <c r="C279">
        <v>173.5</v>
      </c>
      <c r="D279">
        <v>1020</v>
      </c>
      <c r="E279">
        <v>1505</v>
      </c>
    </row>
    <row r="280" spans="1:5">
      <c r="A280" t="s">
        <v>283</v>
      </c>
      <c r="C280">
        <v>173.5</v>
      </c>
      <c r="D280">
        <v>1005</v>
      </c>
      <c r="E280">
        <v>1495</v>
      </c>
    </row>
    <row r="281" spans="1:5">
      <c r="A281" t="s">
        <v>284</v>
      </c>
      <c r="C281">
        <v>172</v>
      </c>
      <c r="D281">
        <v>1005</v>
      </c>
      <c r="E281">
        <v>1465</v>
      </c>
    </row>
    <row r="282" spans="1:5">
      <c r="A282" t="s">
        <v>285</v>
      </c>
      <c r="C282">
        <v>172</v>
      </c>
      <c r="D282">
        <v>998</v>
      </c>
      <c r="E282">
        <v>1395</v>
      </c>
    </row>
    <row r="283" spans="1:5">
      <c r="A283" t="s">
        <v>286</v>
      </c>
      <c r="C283">
        <v>168.5</v>
      </c>
      <c r="D283">
        <v>971</v>
      </c>
      <c r="E283">
        <v>1385</v>
      </c>
    </row>
    <row r="284" spans="1:5">
      <c r="A284" t="s">
        <v>287</v>
      </c>
      <c r="C284">
        <v>170.5</v>
      </c>
      <c r="D284">
        <v>988</v>
      </c>
      <c r="E284">
        <v>1410</v>
      </c>
    </row>
    <row r="285" spans="1:5">
      <c r="A285" t="s">
        <v>288</v>
      </c>
      <c r="C285">
        <v>168</v>
      </c>
      <c r="D285">
        <v>965</v>
      </c>
      <c r="E285">
        <v>1390</v>
      </c>
    </row>
    <row r="286" spans="1:5">
      <c r="A286" t="s">
        <v>289</v>
      </c>
      <c r="C286">
        <v>170</v>
      </c>
      <c r="D286">
        <v>959</v>
      </c>
      <c r="E286">
        <v>1400</v>
      </c>
    </row>
    <row r="287" spans="1:5">
      <c r="A287" t="s">
        <v>290</v>
      </c>
      <c r="C287">
        <v>168</v>
      </c>
      <c r="D287">
        <v>970</v>
      </c>
      <c r="E287">
        <v>1425</v>
      </c>
    </row>
    <row r="288" spans="1:5">
      <c r="A288" t="s">
        <v>291</v>
      </c>
      <c r="C288">
        <v>167.5</v>
      </c>
      <c r="D288">
        <v>971</v>
      </c>
      <c r="E288">
        <v>1475</v>
      </c>
    </row>
    <row r="289" spans="1:5">
      <c r="A289" t="s">
        <v>292</v>
      </c>
      <c r="C289">
        <v>164</v>
      </c>
      <c r="D289">
        <v>952</v>
      </c>
      <c r="E289">
        <v>1465</v>
      </c>
    </row>
    <row r="290" spans="1:5">
      <c r="A290" t="s">
        <v>293</v>
      </c>
      <c r="C290">
        <v>166</v>
      </c>
      <c r="D290">
        <v>985</v>
      </c>
      <c r="E290">
        <v>1485</v>
      </c>
    </row>
    <row r="291" spans="1:5">
      <c r="A291" t="s">
        <v>294</v>
      </c>
      <c r="C291">
        <v>165</v>
      </c>
      <c r="D291">
        <v>972</v>
      </c>
      <c r="E291">
        <v>1480</v>
      </c>
    </row>
    <row r="292" spans="1:5">
      <c r="A292" t="s">
        <v>295</v>
      </c>
      <c r="C292">
        <v>163</v>
      </c>
      <c r="D292">
        <v>972</v>
      </c>
      <c r="E292">
        <v>1480</v>
      </c>
    </row>
    <row r="293" spans="1:5">
      <c r="A293" t="s">
        <v>296</v>
      </c>
      <c r="C293">
        <v>165</v>
      </c>
      <c r="D293">
        <v>990</v>
      </c>
      <c r="E293">
        <v>1525</v>
      </c>
    </row>
    <row r="294" spans="1:5">
      <c r="A294" t="s">
        <v>297</v>
      </c>
      <c r="C294">
        <v>166</v>
      </c>
      <c r="D294">
        <v>980</v>
      </c>
      <c r="E294">
        <v>1515</v>
      </c>
    </row>
    <row r="295" spans="1:5">
      <c r="A295" t="s">
        <v>298</v>
      </c>
      <c r="C295">
        <v>160.5</v>
      </c>
      <c r="D295">
        <v>958</v>
      </c>
      <c r="E295">
        <v>1485</v>
      </c>
    </row>
    <row r="296" spans="1:5">
      <c r="A296" t="s">
        <v>299</v>
      </c>
      <c r="C296">
        <v>154</v>
      </c>
      <c r="D296">
        <v>952</v>
      </c>
      <c r="E296">
        <v>1465</v>
      </c>
    </row>
    <row r="297" spans="1:5">
      <c r="A297" t="s">
        <v>300</v>
      </c>
      <c r="C297">
        <v>146</v>
      </c>
      <c r="D297">
        <v>910</v>
      </c>
      <c r="E297">
        <v>1390</v>
      </c>
    </row>
    <row r="298" spans="1:5">
      <c r="A298" t="s">
        <v>301</v>
      </c>
      <c r="C298">
        <v>152</v>
      </c>
      <c r="D298">
        <v>944</v>
      </c>
      <c r="E298">
        <v>1460</v>
      </c>
    </row>
    <row r="299" spans="1:5">
      <c r="A299" t="s">
        <v>302</v>
      </c>
      <c r="C299">
        <v>153.5</v>
      </c>
      <c r="D299">
        <v>942</v>
      </c>
      <c r="E299">
        <v>1435</v>
      </c>
    </row>
    <row r="300" spans="1:5">
      <c r="A300" t="s">
        <v>303</v>
      </c>
      <c r="C300">
        <v>138.5</v>
      </c>
      <c r="D300">
        <v>848</v>
      </c>
      <c r="E300">
        <v>1295</v>
      </c>
    </row>
    <row r="301" spans="1:5">
      <c r="A301" t="s">
        <v>304</v>
      </c>
      <c r="C301">
        <v>125</v>
      </c>
      <c r="D301">
        <v>816</v>
      </c>
      <c r="E301">
        <v>1260</v>
      </c>
    </row>
    <row r="302" spans="1:5">
      <c r="A302" t="s">
        <v>305</v>
      </c>
      <c r="C302">
        <v>112.5</v>
      </c>
      <c r="D302">
        <v>785</v>
      </c>
      <c r="E302">
        <v>1185</v>
      </c>
    </row>
    <row r="303" spans="1:5">
      <c r="A303" t="s">
        <v>306</v>
      </c>
      <c r="C303">
        <v>123.5</v>
      </c>
      <c r="D303">
        <v>863</v>
      </c>
      <c r="E303">
        <v>1300</v>
      </c>
    </row>
    <row r="304" spans="1:5">
      <c r="A304" t="s">
        <v>307</v>
      </c>
      <c r="C304">
        <v>134.5</v>
      </c>
      <c r="D304">
        <v>889</v>
      </c>
      <c r="E304">
        <v>1385</v>
      </c>
    </row>
    <row r="305" spans="1:5">
      <c r="A305" t="s">
        <v>308</v>
      </c>
      <c r="C305">
        <v>138.5</v>
      </c>
      <c r="D305">
        <v>865</v>
      </c>
      <c r="E305">
        <v>1400</v>
      </c>
    </row>
    <row r="306" spans="1:5">
      <c r="A306" t="s">
        <v>309</v>
      </c>
      <c r="C306">
        <v>139.5</v>
      </c>
      <c r="D306">
        <v>877</v>
      </c>
      <c r="E306">
        <v>1385</v>
      </c>
    </row>
    <row r="307" spans="1:5">
      <c r="A307" t="s">
        <v>310</v>
      </c>
      <c r="C307">
        <v>136</v>
      </c>
      <c r="D307">
        <v>855</v>
      </c>
      <c r="E307">
        <v>1365</v>
      </c>
    </row>
    <row r="308" spans="1:5">
      <c r="A308" t="s">
        <v>311</v>
      </c>
      <c r="C308">
        <v>134.5</v>
      </c>
      <c r="D308">
        <v>847</v>
      </c>
      <c r="E308">
        <v>1340</v>
      </c>
    </row>
    <row r="309" spans="1:5">
      <c r="A309" t="s">
        <v>312</v>
      </c>
      <c r="C309">
        <v>135.5</v>
      </c>
      <c r="D309">
        <v>850</v>
      </c>
      <c r="E309">
        <v>1365</v>
      </c>
    </row>
    <row r="310" spans="1:5">
      <c r="A310" t="s">
        <v>313</v>
      </c>
      <c r="C310">
        <v>136.5</v>
      </c>
      <c r="D310">
        <v>835</v>
      </c>
      <c r="E310">
        <v>1345</v>
      </c>
    </row>
    <row r="311" spans="1:5">
      <c r="A311" t="s">
        <v>314</v>
      </c>
      <c r="C311">
        <v>132</v>
      </c>
      <c r="D311">
        <v>816</v>
      </c>
      <c r="E311">
        <v>1300</v>
      </c>
    </row>
    <row r="312" spans="1:5">
      <c r="A312" t="s">
        <v>315</v>
      </c>
      <c r="C312">
        <v>139</v>
      </c>
      <c r="D312">
        <v>873</v>
      </c>
      <c r="E312">
        <v>1370</v>
      </c>
    </row>
    <row r="313" spans="1:5">
      <c r="A313" t="s">
        <v>316</v>
      </c>
      <c r="C313">
        <v>136.5</v>
      </c>
      <c r="D313">
        <v>864</v>
      </c>
      <c r="E313">
        <v>1330</v>
      </c>
    </row>
    <row r="314" spans="1:5">
      <c r="A314" t="s">
        <v>317</v>
      </c>
      <c r="C314">
        <v>139</v>
      </c>
      <c r="D314">
        <v>888</v>
      </c>
      <c r="E314">
        <v>1380</v>
      </c>
    </row>
    <row r="315" spans="1:5">
      <c r="A315" t="s">
        <v>318</v>
      </c>
      <c r="C315">
        <v>142.5</v>
      </c>
      <c r="D315">
        <v>897</v>
      </c>
      <c r="E315">
        <v>1350</v>
      </c>
    </row>
    <row r="316" spans="1:5">
      <c r="A316" t="s">
        <v>319</v>
      </c>
      <c r="C316">
        <v>143</v>
      </c>
      <c r="D316">
        <v>902</v>
      </c>
      <c r="E316">
        <v>1370</v>
      </c>
    </row>
    <row r="317" spans="1:5">
      <c r="A317" t="s">
        <v>320</v>
      </c>
      <c r="C317">
        <v>141.5</v>
      </c>
      <c r="D317">
        <v>908</v>
      </c>
      <c r="E317">
        <v>1350</v>
      </c>
    </row>
    <row r="318" spans="1:5">
      <c r="A318" t="s">
        <v>321</v>
      </c>
      <c r="C318">
        <v>147.5</v>
      </c>
      <c r="D318">
        <v>950</v>
      </c>
      <c r="E318">
        <v>1300</v>
      </c>
    </row>
    <row r="319" spans="1:5">
      <c r="A319" t="s">
        <v>322</v>
      </c>
      <c r="C319">
        <v>142.5</v>
      </c>
      <c r="D319">
        <v>938</v>
      </c>
      <c r="E319">
        <v>1295</v>
      </c>
    </row>
    <row r="320" spans="1:5">
      <c r="A320" t="s">
        <v>323</v>
      </c>
      <c r="C320">
        <v>146</v>
      </c>
      <c r="D320">
        <v>920</v>
      </c>
      <c r="E320">
        <v>1280</v>
      </c>
    </row>
    <row r="321" spans="1:5">
      <c r="A321" t="s">
        <v>324</v>
      </c>
      <c r="C321">
        <v>145</v>
      </c>
      <c r="D321">
        <v>928</v>
      </c>
      <c r="E321">
        <v>1275</v>
      </c>
    </row>
    <row r="322" spans="1:5">
      <c r="A322" t="s">
        <v>325</v>
      </c>
      <c r="C322">
        <v>146</v>
      </c>
      <c r="D322">
        <v>918</v>
      </c>
      <c r="E322">
        <v>1290</v>
      </c>
    </row>
    <row r="323" spans="1:5">
      <c r="A323" t="s">
        <v>326</v>
      </c>
      <c r="C323">
        <v>147</v>
      </c>
      <c r="D323">
        <v>949</v>
      </c>
      <c r="E323">
        <v>1325</v>
      </c>
    </row>
    <row r="324" spans="1:5">
      <c r="A324" t="s">
        <v>327</v>
      </c>
      <c r="C324">
        <v>153</v>
      </c>
      <c r="D324">
        <v>957</v>
      </c>
      <c r="E324">
        <v>1315</v>
      </c>
    </row>
    <row r="325" spans="1:5">
      <c r="A325" t="s">
        <v>328</v>
      </c>
      <c r="C325">
        <v>158</v>
      </c>
      <c r="D325">
        <v>969</v>
      </c>
      <c r="E325">
        <v>1355</v>
      </c>
    </row>
    <row r="326" spans="1:5">
      <c r="A326" t="s">
        <v>329</v>
      </c>
      <c r="C326">
        <v>163</v>
      </c>
      <c r="D326">
        <v>999</v>
      </c>
      <c r="E326">
        <v>1360</v>
      </c>
    </row>
    <row r="327" spans="1:5">
      <c r="A327" t="s">
        <v>330</v>
      </c>
      <c r="C327">
        <v>159.5</v>
      </c>
      <c r="D327">
        <v>993</v>
      </c>
      <c r="E327">
        <v>1370</v>
      </c>
    </row>
    <row r="328" spans="1:5">
      <c r="A328" t="s">
        <v>331</v>
      </c>
      <c r="C328">
        <v>158</v>
      </c>
      <c r="D328">
        <v>998</v>
      </c>
      <c r="E328">
        <v>1365</v>
      </c>
    </row>
    <row r="329" spans="1:5">
      <c r="A329" t="s">
        <v>332</v>
      </c>
      <c r="C329">
        <v>154</v>
      </c>
      <c r="D329">
        <v>984</v>
      </c>
      <c r="E329">
        <v>1310</v>
      </c>
    </row>
    <row r="330" spans="1:5">
      <c r="A330" t="s">
        <v>333</v>
      </c>
      <c r="C330">
        <v>154</v>
      </c>
      <c r="D330">
        <v>978</v>
      </c>
      <c r="E330">
        <v>1315</v>
      </c>
    </row>
    <row r="331" spans="1:5">
      <c r="A331" t="s">
        <v>334</v>
      </c>
      <c r="C331">
        <v>155</v>
      </c>
      <c r="D331">
        <v>990</v>
      </c>
      <c r="E331">
        <v>1340</v>
      </c>
    </row>
    <row r="332" spans="1:5">
      <c r="A332" t="s">
        <v>335</v>
      </c>
      <c r="C332">
        <v>153</v>
      </c>
      <c r="D332">
        <v>982</v>
      </c>
      <c r="E332">
        <v>1325</v>
      </c>
    </row>
    <row r="333" spans="1:5">
      <c r="A333" t="s">
        <v>336</v>
      </c>
      <c r="C333">
        <v>154</v>
      </c>
      <c r="D333">
        <v>984</v>
      </c>
      <c r="E333">
        <v>1315</v>
      </c>
    </row>
    <row r="334" spans="1:5">
      <c r="A334" t="s">
        <v>337</v>
      </c>
      <c r="C334">
        <v>153</v>
      </c>
      <c r="D334">
        <v>976</v>
      </c>
      <c r="E334">
        <v>1280</v>
      </c>
    </row>
    <row r="335" spans="1:5">
      <c r="A335" t="s">
        <v>338</v>
      </c>
      <c r="C335">
        <v>152</v>
      </c>
      <c r="D335">
        <v>965</v>
      </c>
      <c r="E335">
        <v>1280</v>
      </c>
    </row>
    <row r="336" spans="1:5">
      <c r="A336" t="s">
        <v>339</v>
      </c>
      <c r="C336">
        <v>152</v>
      </c>
      <c r="D336">
        <v>967</v>
      </c>
      <c r="E336">
        <v>1280</v>
      </c>
    </row>
    <row r="337" spans="1:5">
      <c r="A337" t="s">
        <v>340</v>
      </c>
      <c r="C337">
        <v>156</v>
      </c>
      <c r="D337">
        <v>967</v>
      </c>
      <c r="E337">
        <v>1260</v>
      </c>
    </row>
    <row r="338" spans="1:5">
      <c r="A338" t="s">
        <v>341</v>
      </c>
      <c r="C338">
        <v>152.5</v>
      </c>
      <c r="D338">
        <v>946</v>
      </c>
      <c r="E338">
        <v>1260</v>
      </c>
    </row>
    <row r="339" spans="1:5">
      <c r="A339" t="s">
        <v>342</v>
      </c>
      <c r="C339">
        <v>151.5</v>
      </c>
      <c r="D339">
        <v>950</v>
      </c>
      <c r="E339">
        <v>1275</v>
      </c>
    </row>
    <row r="340" spans="1:5">
      <c r="A340" t="s">
        <v>343</v>
      </c>
      <c r="C340">
        <v>156</v>
      </c>
      <c r="D340">
        <v>990</v>
      </c>
      <c r="E340">
        <v>1275</v>
      </c>
    </row>
    <row r="341" spans="1:5">
      <c r="A341" t="s">
        <v>344</v>
      </c>
      <c r="C341">
        <v>155.5</v>
      </c>
      <c r="D341">
        <v>998</v>
      </c>
      <c r="E341">
        <v>1245</v>
      </c>
    </row>
    <row r="342" spans="1:5">
      <c r="A342" t="s">
        <v>345</v>
      </c>
      <c r="C342">
        <v>153</v>
      </c>
      <c r="D342">
        <v>995</v>
      </c>
      <c r="E342">
        <v>1280</v>
      </c>
    </row>
    <row r="343" spans="1:5">
      <c r="A343" t="s">
        <v>346</v>
      </c>
      <c r="C343">
        <v>154.5</v>
      </c>
      <c r="D343">
        <v>1005</v>
      </c>
      <c r="E343">
        <v>1285</v>
      </c>
    </row>
    <row r="344" spans="1:5">
      <c r="A344" t="s">
        <v>347</v>
      </c>
      <c r="C344">
        <v>155.5</v>
      </c>
      <c r="D344">
        <v>1045</v>
      </c>
      <c r="E344">
        <v>1335</v>
      </c>
    </row>
    <row r="345" spans="1:5">
      <c r="A345" t="s">
        <v>348</v>
      </c>
      <c r="C345">
        <v>156</v>
      </c>
      <c r="D345">
        <v>1065</v>
      </c>
      <c r="E345">
        <v>1315</v>
      </c>
    </row>
    <row r="346" spans="1:5">
      <c r="A346" t="s">
        <v>349</v>
      </c>
      <c r="C346">
        <v>157.5</v>
      </c>
      <c r="D346">
        <v>1045</v>
      </c>
      <c r="E346">
        <v>1285</v>
      </c>
    </row>
    <row r="347" spans="1:5">
      <c r="A347" t="s">
        <v>350</v>
      </c>
      <c r="C347">
        <v>156.5</v>
      </c>
      <c r="D347">
        <v>1030</v>
      </c>
      <c r="E347">
        <v>1250</v>
      </c>
    </row>
    <row r="348" spans="1:5">
      <c r="A348" t="s">
        <v>351</v>
      </c>
      <c r="C348">
        <v>155</v>
      </c>
      <c r="D348">
        <v>1025</v>
      </c>
      <c r="E348">
        <v>1255</v>
      </c>
    </row>
    <row r="349" spans="1:5">
      <c r="A349" t="s">
        <v>352</v>
      </c>
      <c r="C349">
        <v>155</v>
      </c>
      <c r="D349">
        <v>1045</v>
      </c>
      <c r="E349">
        <v>1275</v>
      </c>
    </row>
    <row r="350" spans="1:5">
      <c r="A350" t="s">
        <v>353</v>
      </c>
      <c r="C350">
        <v>156</v>
      </c>
      <c r="D350">
        <v>1055</v>
      </c>
      <c r="E350">
        <v>1285</v>
      </c>
    </row>
    <row r="351" spans="1:5">
      <c r="A351" t="s">
        <v>354</v>
      </c>
      <c r="C351">
        <v>154</v>
      </c>
      <c r="D351">
        <v>1035</v>
      </c>
      <c r="E351">
        <v>1265</v>
      </c>
    </row>
    <row r="352" spans="1:5">
      <c r="A352" t="s">
        <v>355</v>
      </c>
      <c r="C352">
        <v>155.5</v>
      </c>
      <c r="D352">
        <v>1055</v>
      </c>
      <c r="E352">
        <v>1250</v>
      </c>
    </row>
    <row r="353" spans="1:5">
      <c r="A353" t="s">
        <v>356</v>
      </c>
      <c r="C353">
        <v>156</v>
      </c>
      <c r="D353">
        <v>1020</v>
      </c>
      <c r="E353">
        <v>1255</v>
      </c>
    </row>
    <row r="354" spans="1:5">
      <c r="A354" t="s">
        <v>357</v>
      </c>
      <c r="C354">
        <v>160.5</v>
      </c>
      <c r="D354">
        <v>1050</v>
      </c>
      <c r="E354">
        <v>1270</v>
      </c>
    </row>
    <row r="355" spans="1:5">
      <c r="A355" t="s">
        <v>358</v>
      </c>
      <c r="C355">
        <v>162</v>
      </c>
      <c r="D355">
        <v>1070</v>
      </c>
      <c r="E355">
        <v>1295</v>
      </c>
    </row>
    <row r="356" spans="1:5">
      <c r="A356" t="s">
        <v>359</v>
      </c>
      <c r="C356">
        <v>163</v>
      </c>
      <c r="D356">
        <v>1075</v>
      </c>
      <c r="E356">
        <v>1290</v>
      </c>
    </row>
    <row r="357" spans="1:5">
      <c r="A357" t="s">
        <v>360</v>
      </c>
      <c r="C357">
        <v>165</v>
      </c>
      <c r="D357">
        <v>1080</v>
      </c>
      <c r="E357">
        <v>1285</v>
      </c>
    </row>
    <row r="358" spans="1:5">
      <c r="A358" t="s">
        <v>361</v>
      </c>
      <c r="C358">
        <v>161</v>
      </c>
      <c r="D358">
        <v>1060</v>
      </c>
      <c r="E358">
        <v>1250</v>
      </c>
    </row>
    <row r="359" spans="1:5">
      <c r="A359" t="s">
        <v>362</v>
      </c>
      <c r="C359">
        <v>165.5</v>
      </c>
      <c r="D359">
        <v>1085</v>
      </c>
      <c r="E359">
        <v>1275</v>
      </c>
    </row>
    <row r="360" spans="1:5">
      <c r="A360" t="s">
        <v>363</v>
      </c>
      <c r="C360">
        <v>162</v>
      </c>
      <c r="D360">
        <v>1085</v>
      </c>
      <c r="E360">
        <v>1295</v>
      </c>
    </row>
    <row r="361" spans="1:5">
      <c r="A361" t="s">
        <v>364</v>
      </c>
      <c r="C361">
        <v>164</v>
      </c>
      <c r="D361">
        <v>1090</v>
      </c>
      <c r="E361">
        <v>1270</v>
      </c>
    </row>
    <row r="362" spans="1:5">
      <c r="A362" t="s">
        <v>365</v>
      </c>
      <c r="C362">
        <v>161</v>
      </c>
      <c r="D362">
        <v>1085</v>
      </c>
      <c r="E362">
        <v>1290</v>
      </c>
    </row>
    <row r="363" spans="1:5">
      <c r="A363" t="s">
        <v>366</v>
      </c>
      <c r="C363">
        <v>161</v>
      </c>
      <c r="D363">
        <v>1080</v>
      </c>
      <c r="E363">
        <v>1280</v>
      </c>
    </row>
    <row r="364" spans="1:5">
      <c r="A364" t="s">
        <v>367</v>
      </c>
      <c r="C364">
        <v>159</v>
      </c>
      <c r="D364">
        <v>1080</v>
      </c>
      <c r="E364">
        <v>1270</v>
      </c>
    </row>
    <row r="365" spans="1:5">
      <c r="A365" t="s">
        <v>368</v>
      </c>
      <c r="C365">
        <v>161</v>
      </c>
      <c r="D365">
        <v>1090</v>
      </c>
      <c r="E365">
        <v>1355</v>
      </c>
    </row>
    <row r="366" spans="1:5">
      <c r="A366" t="s">
        <v>369</v>
      </c>
      <c r="C366">
        <v>161.5</v>
      </c>
      <c r="D366">
        <v>1100</v>
      </c>
      <c r="E366">
        <v>1400</v>
      </c>
    </row>
    <row r="367" spans="1:5">
      <c r="A367" t="s">
        <v>370</v>
      </c>
      <c r="C367">
        <v>161.5</v>
      </c>
      <c r="D367">
        <v>1100</v>
      </c>
      <c r="E367">
        <v>1420</v>
      </c>
    </row>
    <row r="368" spans="1:5">
      <c r="A368" t="s">
        <v>371</v>
      </c>
      <c r="C368">
        <v>160.5</v>
      </c>
      <c r="D368">
        <v>1095</v>
      </c>
      <c r="E368">
        <v>1385</v>
      </c>
    </row>
    <row r="369" spans="1:5">
      <c r="A369" t="s">
        <v>372</v>
      </c>
      <c r="C369">
        <v>163</v>
      </c>
      <c r="D369">
        <v>1110</v>
      </c>
      <c r="E369">
        <v>1395</v>
      </c>
    </row>
    <row r="370" spans="1:5">
      <c r="A370" t="s">
        <v>373</v>
      </c>
      <c r="C370">
        <v>162.5</v>
      </c>
      <c r="D370">
        <v>1130</v>
      </c>
      <c r="E370">
        <v>1410</v>
      </c>
    </row>
    <row r="371" spans="1:5">
      <c r="A371" t="s">
        <v>374</v>
      </c>
      <c r="C371">
        <v>164</v>
      </c>
      <c r="D371">
        <v>1130</v>
      </c>
      <c r="E371">
        <v>1390</v>
      </c>
    </row>
    <row r="372" spans="1:5">
      <c r="A372" t="s">
        <v>375</v>
      </c>
      <c r="C372">
        <v>165.5</v>
      </c>
      <c r="D372">
        <v>1155</v>
      </c>
      <c r="E372">
        <v>1410</v>
      </c>
    </row>
    <row r="373" spans="1:5">
      <c r="A373" t="s">
        <v>376</v>
      </c>
      <c r="C373">
        <v>165</v>
      </c>
      <c r="D373">
        <v>1150</v>
      </c>
      <c r="E373">
        <v>1425</v>
      </c>
    </row>
    <row r="374" spans="1:5">
      <c r="A374" t="s">
        <v>377</v>
      </c>
      <c r="C374">
        <v>162</v>
      </c>
      <c r="D374">
        <v>1130</v>
      </c>
      <c r="E374">
        <v>1430</v>
      </c>
    </row>
    <row r="375" spans="1:5">
      <c r="A375" t="s">
        <v>378</v>
      </c>
      <c r="C375">
        <v>166</v>
      </c>
      <c r="D375">
        <v>1145</v>
      </c>
      <c r="E375">
        <v>1430</v>
      </c>
    </row>
    <row r="376" spans="1:5">
      <c r="A376" t="s">
        <v>379</v>
      </c>
      <c r="C376">
        <v>174</v>
      </c>
      <c r="D376">
        <v>1145</v>
      </c>
      <c r="E376">
        <v>1430</v>
      </c>
    </row>
    <row r="377" spans="1:5">
      <c r="A377" t="s">
        <v>380</v>
      </c>
      <c r="C377">
        <v>174.5</v>
      </c>
      <c r="D377">
        <v>1145</v>
      </c>
      <c r="E377">
        <v>1430</v>
      </c>
    </row>
    <row r="378" spans="1:5">
      <c r="A378" t="s">
        <v>381</v>
      </c>
      <c r="C378">
        <v>176</v>
      </c>
      <c r="D378">
        <v>1145</v>
      </c>
      <c r="E378">
        <v>1400</v>
      </c>
    </row>
    <row r="379" spans="1:5">
      <c r="A379" t="s">
        <v>382</v>
      </c>
      <c r="C379">
        <v>171.5</v>
      </c>
      <c r="D379">
        <v>1135</v>
      </c>
      <c r="E379">
        <v>1360</v>
      </c>
    </row>
    <row r="380" spans="1:5">
      <c r="A380" t="s">
        <v>383</v>
      </c>
      <c r="C380">
        <v>171.5</v>
      </c>
      <c r="D380">
        <v>1155</v>
      </c>
      <c r="E380">
        <v>1380</v>
      </c>
    </row>
    <row r="381" spans="1:5">
      <c r="A381" t="s">
        <v>384</v>
      </c>
      <c r="C381">
        <v>178</v>
      </c>
      <c r="D381">
        <v>1160</v>
      </c>
      <c r="E381">
        <v>1370</v>
      </c>
    </row>
    <row r="382" spans="1:5">
      <c r="A382" t="s">
        <v>385</v>
      </c>
      <c r="C382">
        <v>181.5</v>
      </c>
      <c r="D382">
        <v>1140</v>
      </c>
      <c r="E382">
        <v>1350</v>
      </c>
    </row>
    <row r="383" spans="1:5">
      <c r="A383" t="s">
        <v>386</v>
      </c>
      <c r="C383">
        <v>180</v>
      </c>
      <c r="D383">
        <v>1135</v>
      </c>
      <c r="E383">
        <v>1330</v>
      </c>
    </row>
    <row r="384" spans="1:5">
      <c r="A384" t="s">
        <v>387</v>
      </c>
      <c r="C384">
        <v>184.5</v>
      </c>
      <c r="D384">
        <v>1150</v>
      </c>
      <c r="E384">
        <v>1340</v>
      </c>
    </row>
    <row r="385" spans="1:5">
      <c r="A385" t="s">
        <v>388</v>
      </c>
      <c r="C385">
        <v>186</v>
      </c>
      <c r="D385">
        <v>1125</v>
      </c>
      <c r="E385">
        <v>1320</v>
      </c>
    </row>
    <row r="386" spans="1:5">
      <c r="A386" t="s">
        <v>389</v>
      </c>
      <c r="C386">
        <v>194.5</v>
      </c>
      <c r="D386">
        <v>1180</v>
      </c>
      <c r="E386">
        <v>1355</v>
      </c>
    </row>
    <row r="387" spans="1:5">
      <c r="A387" t="s">
        <v>390</v>
      </c>
      <c r="C387">
        <v>194.5</v>
      </c>
      <c r="D387">
        <v>1175</v>
      </c>
      <c r="E387">
        <v>1350</v>
      </c>
    </row>
    <row r="388" spans="1:5">
      <c r="A388" t="s">
        <v>391</v>
      </c>
      <c r="C388">
        <v>198</v>
      </c>
      <c r="D388">
        <v>1180</v>
      </c>
      <c r="E388">
        <v>1355</v>
      </c>
    </row>
    <row r="389" spans="1:5">
      <c r="A389" t="s">
        <v>392</v>
      </c>
      <c r="C389">
        <v>197</v>
      </c>
      <c r="D389">
        <v>1180</v>
      </c>
      <c r="E389">
        <v>1360</v>
      </c>
    </row>
    <row r="390" spans="1:5">
      <c r="A390" t="s">
        <v>393</v>
      </c>
      <c r="C390">
        <v>198.5</v>
      </c>
      <c r="D390">
        <v>1200</v>
      </c>
      <c r="E390">
        <v>1370</v>
      </c>
    </row>
    <row r="391" spans="1:5">
      <c r="A391" t="s">
        <v>394</v>
      </c>
      <c r="C391">
        <v>199.5</v>
      </c>
      <c r="D391">
        <v>1175</v>
      </c>
      <c r="E391">
        <v>1390</v>
      </c>
    </row>
    <row r="392" spans="1:5">
      <c r="A392" t="s">
        <v>395</v>
      </c>
      <c r="C392">
        <v>207</v>
      </c>
      <c r="D392">
        <v>1180</v>
      </c>
      <c r="E392">
        <v>1370</v>
      </c>
    </row>
    <row r="393" spans="1:5">
      <c r="A393" t="s">
        <v>396</v>
      </c>
      <c r="C393">
        <v>210</v>
      </c>
      <c r="D393">
        <v>1180</v>
      </c>
      <c r="E393">
        <v>1410</v>
      </c>
    </row>
    <row r="394" spans="1:5">
      <c r="A394" t="s">
        <v>397</v>
      </c>
      <c r="C394">
        <v>208</v>
      </c>
      <c r="D394">
        <v>1185</v>
      </c>
      <c r="E394">
        <v>1390</v>
      </c>
    </row>
    <row r="395" spans="1:5">
      <c r="A395" t="s">
        <v>398</v>
      </c>
      <c r="C395">
        <v>200.5</v>
      </c>
      <c r="D395">
        <v>1135</v>
      </c>
      <c r="E395">
        <v>1355</v>
      </c>
    </row>
    <row r="396" spans="1:5">
      <c r="A396" t="s">
        <v>399</v>
      </c>
      <c r="C396">
        <v>206</v>
      </c>
      <c r="D396">
        <v>1150</v>
      </c>
      <c r="E396">
        <v>1365</v>
      </c>
    </row>
    <row r="397" spans="1:5">
      <c r="A397" t="s">
        <v>400</v>
      </c>
      <c r="C397">
        <v>202.5</v>
      </c>
      <c r="D397">
        <v>1135</v>
      </c>
      <c r="E397">
        <v>1365</v>
      </c>
    </row>
    <row r="398" spans="1:5">
      <c r="A398" t="s">
        <v>401</v>
      </c>
      <c r="C398">
        <v>207.5</v>
      </c>
      <c r="D398">
        <v>1170</v>
      </c>
      <c r="E398">
        <v>1410</v>
      </c>
    </row>
    <row r="399" spans="1:5">
      <c r="A399" t="s">
        <v>402</v>
      </c>
      <c r="C399">
        <v>209</v>
      </c>
      <c r="D399">
        <v>1175</v>
      </c>
      <c r="E399">
        <v>1400</v>
      </c>
    </row>
    <row r="400" spans="1:5">
      <c r="A400" t="s">
        <v>403</v>
      </c>
      <c r="C400">
        <v>208</v>
      </c>
      <c r="D400">
        <v>1190</v>
      </c>
      <c r="E400">
        <v>1400</v>
      </c>
    </row>
    <row r="401" spans="1:5">
      <c r="A401" t="s">
        <v>404</v>
      </c>
      <c r="C401">
        <v>206</v>
      </c>
      <c r="D401">
        <v>1160</v>
      </c>
      <c r="E401">
        <v>1385</v>
      </c>
    </row>
    <row r="402" spans="1:5">
      <c r="A402" t="s">
        <v>405</v>
      </c>
      <c r="C402">
        <v>203.5</v>
      </c>
      <c r="D402">
        <v>1160</v>
      </c>
      <c r="E402">
        <v>1370</v>
      </c>
    </row>
    <row r="403" spans="1:5">
      <c r="A403" t="s">
        <v>406</v>
      </c>
      <c r="C403">
        <v>198.5</v>
      </c>
      <c r="D403">
        <v>1165</v>
      </c>
      <c r="E403">
        <v>1360</v>
      </c>
    </row>
    <row r="404" spans="1:5">
      <c r="A404" t="s">
        <v>407</v>
      </c>
      <c r="C404">
        <v>198.5</v>
      </c>
      <c r="D404">
        <v>1160</v>
      </c>
      <c r="E404">
        <v>1360</v>
      </c>
    </row>
    <row r="405" spans="1:5">
      <c r="A405" t="s">
        <v>408</v>
      </c>
      <c r="C405">
        <v>200.5</v>
      </c>
      <c r="D405">
        <v>1160</v>
      </c>
      <c r="E405">
        <v>1395</v>
      </c>
    </row>
    <row r="406" spans="1:5">
      <c r="A406" t="s">
        <v>409</v>
      </c>
      <c r="C406">
        <v>203</v>
      </c>
      <c r="D406">
        <v>1160</v>
      </c>
      <c r="E406">
        <v>1385</v>
      </c>
    </row>
    <row r="407" spans="1:5">
      <c r="A407" t="s">
        <v>410</v>
      </c>
      <c r="C407">
        <v>205</v>
      </c>
      <c r="D407">
        <v>1180</v>
      </c>
      <c r="E407">
        <v>1435</v>
      </c>
    </row>
    <row r="408" spans="1:5">
      <c r="A408" t="s">
        <v>411</v>
      </c>
      <c r="C408">
        <v>203.5</v>
      </c>
      <c r="D408">
        <v>1180</v>
      </c>
      <c r="E408">
        <v>1430</v>
      </c>
    </row>
    <row r="409" spans="1:5">
      <c r="A409" t="s">
        <v>412</v>
      </c>
      <c r="C409">
        <v>207.5</v>
      </c>
      <c r="D409">
        <v>1200</v>
      </c>
      <c r="E409">
        <v>1510</v>
      </c>
    </row>
    <row r="410" spans="1:5">
      <c r="A410" t="s">
        <v>413</v>
      </c>
      <c r="C410">
        <v>210</v>
      </c>
      <c r="D410">
        <v>1225</v>
      </c>
      <c r="E410">
        <v>1490</v>
      </c>
    </row>
    <row r="411" spans="1:5">
      <c r="A411" t="s">
        <v>414</v>
      </c>
      <c r="C411">
        <v>214.5</v>
      </c>
      <c r="D411">
        <v>1240</v>
      </c>
      <c r="E411">
        <v>1480</v>
      </c>
    </row>
    <row r="412" spans="1:5">
      <c r="A412" t="s">
        <v>415</v>
      </c>
      <c r="C412">
        <v>217.5</v>
      </c>
      <c r="D412">
        <v>1260</v>
      </c>
      <c r="E412">
        <v>1485</v>
      </c>
    </row>
    <row r="413" spans="1:5">
      <c r="A413" t="s">
        <v>416</v>
      </c>
      <c r="C413">
        <v>216</v>
      </c>
      <c r="D413">
        <v>1255</v>
      </c>
      <c r="E413">
        <v>1485</v>
      </c>
    </row>
    <row r="414" spans="1:5">
      <c r="A414" t="s">
        <v>417</v>
      </c>
      <c r="C414">
        <v>215.5</v>
      </c>
      <c r="D414">
        <v>1280</v>
      </c>
      <c r="E414">
        <v>1535</v>
      </c>
    </row>
    <row r="415" spans="1:5">
      <c r="A415" t="s">
        <v>418</v>
      </c>
      <c r="C415">
        <v>212</v>
      </c>
      <c r="D415">
        <v>1265</v>
      </c>
      <c r="E415">
        <v>1510</v>
      </c>
    </row>
    <row r="416" spans="1:5">
      <c r="A416" t="s">
        <v>419</v>
      </c>
      <c r="C416">
        <v>215</v>
      </c>
      <c r="D416">
        <v>1285</v>
      </c>
      <c r="E416">
        <v>1510</v>
      </c>
    </row>
    <row r="417" spans="1:5">
      <c r="A417" t="s">
        <v>420</v>
      </c>
      <c r="C417">
        <v>214</v>
      </c>
      <c r="D417">
        <v>1265</v>
      </c>
      <c r="E417">
        <v>1440</v>
      </c>
    </row>
    <row r="418" spans="1:5">
      <c r="A418" t="s">
        <v>421</v>
      </c>
      <c r="C418">
        <v>216</v>
      </c>
      <c r="D418">
        <v>1295</v>
      </c>
      <c r="E418">
        <v>1405</v>
      </c>
    </row>
    <row r="419" spans="1:5">
      <c r="A419" t="s">
        <v>422</v>
      </c>
      <c r="C419">
        <v>221</v>
      </c>
      <c r="D419">
        <v>1340</v>
      </c>
      <c r="E419">
        <v>1375</v>
      </c>
    </row>
    <row r="420" spans="1:5">
      <c r="A420" t="s">
        <v>423</v>
      </c>
      <c r="C420">
        <v>223</v>
      </c>
      <c r="D420">
        <v>1340</v>
      </c>
      <c r="E420">
        <v>1330</v>
      </c>
    </row>
    <row r="421" spans="1:5">
      <c r="A421" t="s">
        <v>424</v>
      </c>
      <c r="C421">
        <v>230</v>
      </c>
      <c r="D421">
        <v>1320</v>
      </c>
      <c r="E421">
        <v>1345</v>
      </c>
    </row>
    <row r="422" spans="1:5">
      <c r="A422" t="s">
        <v>425</v>
      </c>
      <c r="C422">
        <v>219.5</v>
      </c>
      <c r="D422">
        <v>1300</v>
      </c>
      <c r="E422">
        <v>1310</v>
      </c>
    </row>
    <row r="423" spans="1:5">
      <c r="A423" t="s">
        <v>426</v>
      </c>
      <c r="C423">
        <v>216</v>
      </c>
      <c r="D423">
        <v>1305</v>
      </c>
      <c r="E423">
        <v>1315</v>
      </c>
    </row>
    <row r="424" spans="1:5">
      <c r="A424" t="s">
        <v>427</v>
      </c>
      <c r="C424">
        <v>219</v>
      </c>
      <c r="D424">
        <v>1325</v>
      </c>
      <c r="E424">
        <v>1285</v>
      </c>
    </row>
    <row r="425" spans="1:5">
      <c r="A425" t="s">
        <v>428</v>
      </c>
      <c r="C425">
        <v>225.5</v>
      </c>
      <c r="D425">
        <v>1365</v>
      </c>
      <c r="E425">
        <v>1280</v>
      </c>
    </row>
    <row r="426" spans="1:5">
      <c r="A426" t="s">
        <v>429</v>
      </c>
      <c r="C426">
        <v>226.5</v>
      </c>
      <c r="D426">
        <v>1400</v>
      </c>
      <c r="E426">
        <v>1320</v>
      </c>
    </row>
    <row r="427" spans="1:5">
      <c r="A427" t="s">
        <v>430</v>
      </c>
      <c r="C427">
        <v>228.5</v>
      </c>
      <c r="D427">
        <v>1435</v>
      </c>
      <c r="E427">
        <v>1325</v>
      </c>
    </row>
    <row r="428" spans="1:5">
      <c r="A428" t="s">
        <v>431</v>
      </c>
      <c r="B428">
        <v>981</v>
      </c>
      <c r="C428">
        <v>225</v>
      </c>
      <c r="D428">
        <v>1415</v>
      </c>
    </row>
    <row r="429" spans="1:5">
      <c r="A429" t="s">
        <v>432</v>
      </c>
      <c r="B429">
        <v>999</v>
      </c>
      <c r="C429">
        <v>221.5</v>
      </c>
      <c r="D429">
        <v>1440</v>
      </c>
    </row>
    <row r="430" spans="1:5">
      <c r="A430" t="s">
        <v>433</v>
      </c>
      <c r="B430">
        <v>1030</v>
      </c>
      <c r="C430">
        <v>213</v>
      </c>
      <c r="D430">
        <v>1415</v>
      </c>
    </row>
    <row r="431" spans="1:5">
      <c r="A431" t="s">
        <v>434</v>
      </c>
      <c r="B431">
        <v>992</v>
      </c>
      <c r="C431">
        <v>206</v>
      </c>
      <c r="D431">
        <v>1425</v>
      </c>
    </row>
    <row r="432" spans="1:5">
      <c r="A432" t="s">
        <v>435</v>
      </c>
      <c r="B432">
        <v>1015</v>
      </c>
      <c r="C432">
        <v>206.5</v>
      </c>
      <c r="D432">
        <v>1465</v>
      </c>
    </row>
    <row r="433" spans="1:4">
      <c r="A433" t="s">
        <v>436</v>
      </c>
      <c r="B433">
        <v>1025</v>
      </c>
      <c r="C433">
        <v>223</v>
      </c>
      <c r="D433">
        <v>1485</v>
      </c>
    </row>
    <row r="434" spans="1:4">
      <c r="A434" t="s">
        <v>437</v>
      </c>
      <c r="B434">
        <v>999</v>
      </c>
      <c r="C434">
        <v>226.5</v>
      </c>
      <c r="D434">
        <v>1450</v>
      </c>
    </row>
    <row r="435" spans="1:4">
      <c r="A435" t="s">
        <v>438</v>
      </c>
      <c r="B435">
        <v>1015</v>
      </c>
      <c r="C435">
        <v>238.5</v>
      </c>
      <c r="D435">
        <v>1480</v>
      </c>
    </row>
    <row r="436" spans="1:4">
      <c r="A436" t="s">
        <v>439</v>
      </c>
      <c r="B436">
        <v>1020</v>
      </c>
      <c r="C436">
        <v>239</v>
      </c>
      <c r="D436">
        <v>1480</v>
      </c>
    </row>
    <row r="437" spans="1:4">
      <c r="A437" t="s">
        <v>440</v>
      </c>
      <c r="B437">
        <v>1020</v>
      </c>
      <c r="C437">
        <v>242.5</v>
      </c>
      <c r="D437">
        <v>1460</v>
      </c>
    </row>
    <row r="438" spans="1:4">
      <c r="A438" t="s">
        <v>441</v>
      </c>
      <c r="B438">
        <v>1010</v>
      </c>
      <c r="C438">
        <v>239</v>
      </c>
      <c r="D438">
        <v>1450</v>
      </c>
    </row>
    <row r="439" spans="1:4">
      <c r="A439" t="s">
        <v>442</v>
      </c>
      <c r="B439">
        <v>1070</v>
      </c>
      <c r="C439">
        <v>246.5</v>
      </c>
      <c r="D439">
        <v>1480</v>
      </c>
    </row>
    <row r="440" spans="1:4">
      <c r="A440" t="s">
        <v>443</v>
      </c>
      <c r="B440">
        <v>1075</v>
      </c>
      <c r="C440">
        <v>250</v>
      </c>
      <c r="D440">
        <v>1475</v>
      </c>
    </row>
    <row r="441" spans="1:4">
      <c r="A441" t="s">
        <v>444</v>
      </c>
      <c r="B441">
        <v>1060</v>
      </c>
      <c r="C441">
        <v>260</v>
      </c>
      <c r="D441">
        <v>1505</v>
      </c>
    </row>
    <row r="442" spans="1:4">
      <c r="A442" t="s">
        <v>445</v>
      </c>
      <c r="B442">
        <v>1010</v>
      </c>
      <c r="C442">
        <v>262</v>
      </c>
      <c r="D442">
        <v>1505</v>
      </c>
    </row>
    <row r="443" spans="1:4">
      <c r="A443" t="s">
        <v>446</v>
      </c>
      <c r="B443">
        <v>995</v>
      </c>
      <c r="C443">
        <v>257.5</v>
      </c>
      <c r="D443">
        <v>1500</v>
      </c>
    </row>
    <row r="444" spans="1:4">
      <c r="A444" t="s">
        <v>447</v>
      </c>
      <c r="B444">
        <v>983</v>
      </c>
      <c r="C444">
        <v>251.5</v>
      </c>
      <c r="D444">
        <v>1510</v>
      </c>
    </row>
    <row r="445" spans="1:4">
      <c r="A445" t="s">
        <v>448</v>
      </c>
      <c r="B445">
        <v>975</v>
      </c>
      <c r="C445">
        <v>244</v>
      </c>
      <c r="D445">
        <v>1505</v>
      </c>
    </row>
    <row r="446" spans="1:4">
      <c r="A446" t="s">
        <v>449</v>
      </c>
      <c r="B446">
        <v>967</v>
      </c>
      <c r="C446">
        <v>247</v>
      </c>
      <c r="D446">
        <v>1460</v>
      </c>
    </row>
    <row r="447" spans="1:4">
      <c r="A447" t="s">
        <v>450</v>
      </c>
      <c r="B447">
        <v>978</v>
      </c>
      <c r="C447">
        <v>248</v>
      </c>
      <c r="D447">
        <v>1465</v>
      </c>
    </row>
    <row r="448" spans="1:4">
      <c r="A448" t="s">
        <v>451</v>
      </c>
      <c r="B448">
        <v>965</v>
      </c>
      <c r="C448">
        <v>244</v>
      </c>
      <c r="D448">
        <v>1460</v>
      </c>
    </row>
    <row r="449" spans="1:4">
      <c r="A449" t="s">
        <v>452</v>
      </c>
      <c r="B449">
        <v>982</v>
      </c>
      <c r="C449">
        <v>249.5</v>
      </c>
      <c r="D449">
        <v>1475</v>
      </c>
    </row>
    <row r="450" spans="1:4">
      <c r="A450" t="s">
        <v>453</v>
      </c>
      <c r="B450">
        <v>972</v>
      </c>
      <c r="C450">
        <v>246.5</v>
      </c>
      <c r="D450">
        <v>1465</v>
      </c>
    </row>
    <row r="451" spans="1:4">
      <c r="A451" t="s">
        <v>454</v>
      </c>
      <c r="B451">
        <v>967</v>
      </c>
      <c r="C451">
        <v>251</v>
      </c>
      <c r="D451">
        <v>1475</v>
      </c>
    </row>
    <row r="452" spans="1:4">
      <c r="A452" t="s">
        <v>455</v>
      </c>
      <c r="B452">
        <v>958</v>
      </c>
      <c r="C452">
        <v>252</v>
      </c>
      <c r="D452">
        <v>1460</v>
      </c>
    </row>
    <row r="453" spans="1:4">
      <c r="A453" t="s">
        <v>456</v>
      </c>
      <c r="B453">
        <v>922</v>
      </c>
      <c r="C453">
        <v>241</v>
      </c>
      <c r="D453">
        <v>1430</v>
      </c>
    </row>
    <row r="454" spans="1:4">
      <c r="A454" t="s">
        <v>457</v>
      </c>
      <c r="B454">
        <v>916</v>
      </c>
      <c r="C454">
        <v>236</v>
      </c>
      <c r="D454">
        <v>1445</v>
      </c>
    </row>
    <row r="455" spans="1:4">
      <c r="A455" t="s">
        <v>458</v>
      </c>
      <c r="B455">
        <v>898</v>
      </c>
      <c r="C455">
        <v>230</v>
      </c>
      <c r="D455">
        <v>1405</v>
      </c>
    </row>
    <row r="456" spans="1:4">
      <c r="A456" t="s">
        <v>459</v>
      </c>
      <c r="B456">
        <v>894</v>
      </c>
      <c r="C456">
        <v>229</v>
      </c>
      <c r="D456">
        <v>1395</v>
      </c>
    </row>
    <row r="457" spans="1:4">
      <c r="A457" t="s">
        <v>460</v>
      </c>
      <c r="B457">
        <v>954</v>
      </c>
      <c r="C457">
        <v>236.5</v>
      </c>
      <c r="D457">
        <v>1455</v>
      </c>
    </row>
    <row r="458" spans="1:4">
      <c r="A458" t="s">
        <v>461</v>
      </c>
      <c r="B458">
        <v>895</v>
      </c>
      <c r="C458">
        <v>225</v>
      </c>
      <c r="D458">
        <v>1385</v>
      </c>
    </row>
    <row r="459" spans="1:4">
      <c r="A459" t="s">
        <v>462</v>
      </c>
      <c r="B459">
        <v>893</v>
      </c>
      <c r="C459">
        <v>220</v>
      </c>
      <c r="D459">
        <v>1375</v>
      </c>
    </row>
    <row r="460" spans="1:4">
      <c r="A460" t="s">
        <v>463</v>
      </c>
      <c r="B460">
        <v>910</v>
      </c>
      <c r="C460">
        <v>219</v>
      </c>
      <c r="D460">
        <v>1415</v>
      </c>
    </row>
    <row r="461" spans="1:4">
      <c r="A461" t="s">
        <v>464</v>
      </c>
      <c r="B461">
        <v>945</v>
      </c>
      <c r="C461">
        <v>227</v>
      </c>
      <c r="D461">
        <v>1440</v>
      </c>
    </row>
    <row r="462" spans="1:4">
      <c r="A462" t="s">
        <v>465</v>
      </c>
      <c r="B462">
        <v>942</v>
      </c>
      <c r="C462">
        <v>231</v>
      </c>
      <c r="D462">
        <v>1435</v>
      </c>
    </row>
    <row r="463" spans="1:4">
      <c r="A463" t="s">
        <v>466</v>
      </c>
      <c r="B463">
        <v>932</v>
      </c>
      <c r="C463">
        <v>225.5</v>
      </c>
      <c r="D463">
        <v>1440</v>
      </c>
    </row>
    <row r="464" spans="1:4">
      <c r="A464" t="s">
        <v>467</v>
      </c>
      <c r="B464">
        <v>973</v>
      </c>
      <c r="C464">
        <v>222</v>
      </c>
      <c r="D464">
        <v>1410</v>
      </c>
    </row>
    <row r="465" spans="1:4">
      <c r="A465" t="s">
        <v>468</v>
      </c>
      <c r="B465">
        <v>989</v>
      </c>
      <c r="C465">
        <v>222</v>
      </c>
      <c r="D465">
        <v>1430</v>
      </c>
    </row>
    <row r="466" spans="1:4">
      <c r="A466" t="s">
        <v>469</v>
      </c>
      <c r="B466">
        <v>997</v>
      </c>
      <c r="C466">
        <v>227</v>
      </c>
      <c r="D466">
        <v>1450</v>
      </c>
    </row>
    <row r="467" spans="1:4">
      <c r="A467" t="s">
        <v>470</v>
      </c>
      <c r="B467">
        <v>999</v>
      </c>
      <c r="C467">
        <v>228.5</v>
      </c>
      <c r="D467">
        <v>1445</v>
      </c>
    </row>
    <row r="468" spans="1:4">
      <c r="A468" t="s">
        <v>471</v>
      </c>
      <c r="B468">
        <v>979</v>
      </c>
      <c r="C468">
        <v>231</v>
      </c>
      <c r="D468">
        <v>1460</v>
      </c>
    </row>
    <row r="469" spans="1:4">
      <c r="A469" t="s">
        <v>472</v>
      </c>
      <c r="B469">
        <v>979</v>
      </c>
      <c r="C469">
        <v>232</v>
      </c>
      <c r="D469">
        <v>1495</v>
      </c>
    </row>
    <row r="470" spans="1:4">
      <c r="A470" t="s">
        <v>473</v>
      </c>
      <c r="B470">
        <v>971</v>
      </c>
      <c r="C470">
        <v>235</v>
      </c>
      <c r="D470">
        <v>1480</v>
      </c>
    </row>
    <row r="471" spans="1:4">
      <c r="A471" t="s">
        <v>474</v>
      </c>
      <c r="B471">
        <v>968</v>
      </c>
      <c r="C471">
        <v>233.5</v>
      </c>
      <c r="D471">
        <v>1505</v>
      </c>
    </row>
    <row r="472" spans="1:4">
      <c r="A472" t="s">
        <v>475</v>
      </c>
      <c r="B472">
        <v>945</v>
      </c>
      <c r="C472">
        <v>226</v>
      </c>
      <c r="D472">
        <v>1470</v>
      </c>
    </row>
    <row r="473" spans="1:4">
      <c r="A473" t="s">
        <v>476</v>
      </c>
      <c r="B473">
        <v>938</v>
      </c>
      <c r="C473">
        <v>227</v>
      </c>
      <c r="D473">
        <v>1480</v>
      </c>
    </row>
    <row r="474" spans="1:4">
      <c r="A474" t="s">
        <v>477</v>
      </c>
      <c r="B474">
        <v>922</v>
      </c>
      <c r="C474">
        <v>221.5</v>
      </c>
      <c r="D474">
        <v>1450</v>
      </c>
    </row>
    <row r="475" spans="1:4">
      <c r="A475" t="s">
        <v>478</v>
      </c>
      <c r="B475">
        <v>901</v>
      </c>
      <c r="C475">
        <v>218</v>
      </c>
      <c r="D475">
        <v>1435</v>
      </c>
    </row>
    <row r="476" spans="1:4">
      <c r="A476" t="s">
        <v>479</v>
      </c>
      <c r="B476">
        <v>890</v>
      </c>
      <c r="C476">
        <v>216.5</v>
      </c>
      <c r="D476">
        <v>1430</v>
      </c>
    </row>
    <row r="477" spans="1:4">
      <c r="A477" t="s">
        <v>480</v>
      </c>
      <c r="B477">
        <v>891</v>
      </c>
      <c r="C477">
        <v>216</v>
      </c>
      <c r="D477">
        <v>1430</v>
      </c>
    </row>
    <row r="478" spans="1:4">
      <c r="A478" t="s">
        <v>481</v>
      </c>
      <c r="B478">
        <v>911</v>
      </c>
      <c r="C478">
        <v>221.5</v>
      </c>
      <c r="D478">
        <v>1430</v>
      </c>
    </row>
    <row r="479" spans="1:4">
      <c r="A479" t="s">
        <v>482</v>
      </c>
      <c r="B479">
        <v>953</v>
      </c>
      <c r="C479">
        <v>224</v>
      </c>
      <c r="D479">
        <v>1465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8"/>
  <dimension ref="A1:E479"/>
  <sheetViews>
    <sheetView zoomScale="130" zoomScaleNormal="130" workbookViewId="0">
      <selection activeCell="C3" sqref="C3"/>
    </sheetView>
  </sheetViews>
  <sheetFormatPr baseColWidth="10" defaultColWidth="9" defaultRowHeight="14"/>
  <sheetData>
    <row r="1" spans="1: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5">
      <c r="A2" t="s">
        <v>5</v>
      </c>
      <c r="C2">
        <v>0</v>
      </c>
      <c r="D2">
        <v>0</v>
      </c>
      <c r="E2">
        <v>0</v>
      </c>
    </row>
    <row r="3" spans="1:5">
      <c r="A3" t="s">
        <v>6</v>
      </c>
      <c r="C3">
        <v>-4.7846889952153108E-3</v>
      </c>
      <c r="D3">
        <v>3.4602076124567479E-3</v>
      </c>
      <c r="E3">
        <v>-2.6232948583420779E-2</v>
      </c>
    </row>
    <row r="4" spans="1:5">
      <c r="A4" t="s">
        <v>7</v>
      </c>
      <c r="C4">
        <v>0</v>
      </c>
      <c r="D4">
        <v>-6.8965517241379309E-3</v>
      </c>
      <c r="E4">
        <v>-7.5431034482758624E-3</v>
      </c>
    </row>
    <row r="5" spans="1:5">
      <c r="A5" t="s">
        <v>8</v>
      </c>
      <c r="C5">
        <v>-2.403846153846154E-2</v>
      </c>
      <c r="D5">
        <v>1.215277777777778E-2</v>
      </c>
      <c r="E5">
        <v>-1.085776330076004E-3</v>
      </c>
    </row>
    <row r="6" spans="1:5">
      <c r="A6" t="s">
        <v>9</v>
      </c>
      <c r="C6">
        <v>-4.9261083743842374E-3</v>
      </c>
      <c r="D6">
        <v>5.1457975986277877E-3</v>
      </c>
      <c r="E6">
        <v>8.6956521739130436E-3</v>
      </c>
    </row>
    <row r="7" spans="1:5">
      <c r="A7" t="s">
        <v>10</v>
      </c>
      <c r="C7">
        <v>-9.9009900990099011E-3</v>
      </c>
      <c r="D7">
        <v>-3.412969283276451E-3</v>
      </c>
      <c r="E7">
        <v>-4.3103448275862068E-3</v>
      </c>
    </row>
    <row r="8" spans="1:5">
      <c r="A8" t="s">
        <v>11</v>
      </c>
      <c r="C8">
        <v>5.0000000000000001E-3</v>
      </c>
      <c r="D8">
        <v>3.4246575342465752E-3</v>
      </c>
      <c r="E8">
        <v>-4.329004329004329E-3</v>
      </c>
    </row>
    <row r="9" spans="1:5">
      <c r="A9" t="s">
        <v>12</v>
      </c>
      <c r="C9">
        <v>0</v>
      </c>
      <c r="D9">
        <v>-3.412969283276451E-3</v>
      </c>
      <c r="E9">
        <v>6.5217391304347823E-3</v>
      </c>
    </row>
    <row r="10" spans="1:5">
      <c r="A10" t="s">
        <v>13</v>
      </c>
      <c r="C10">
        <v>-4.9751243781094526E-3</v>
      </c>
      <c r="D10">
        <v>3.4246575342465752E-3</v>
      </c>
      <c r="E10">
        <v>-4.3196544276457886E-3</v>
      </c>
    </row>
    <row r="11" spans="1:5">
      <c r="A11" t="s">
        <v>14</v>
      </c>
      <c r="C11">
        <v>0</v>
      </c>
      <c r="D11">
        <v>-1.0238907849829349E-2</v>
      </c>
      <c r="E11">
        <v>-2.9284164859002169E-2</v>
      </c>
    </row>
    <row r="12" spans="1:5">
      <c r="A12" t="s">
        <v>15</v>
      </c>
      <c r="C12">
        <v>-1.4000000000000059E-2</v>
      </c>
      <c r="D12">
        <v>1.724137931034483E-3</v>
      </c>
      <c r="E12">
        <v>-1.7877094972067041E-2</v>
      </c>
    </row>
    <row r="13" spans="1:5">
      <c r="A13" t="s">
        <v>16</v>
      </c>
      <c r="C13">
        <v>1.31845841784991E-2</v>
      </c>
      <c r="D13">
        <v>1.204819277108434E-2</v>
      </c>
      <c r="E13">
        <v>2.0477815699658699E-2</v>
      </c>
    </row>
    <row r="14" spans="1:5">
      <c r="A14" t="s">
        <v>17</v>
      </c>
      <c r="C14">
        <v>6.0060060060059487E-3</v>
      </c>
      <c r="D14">
        <v>6.4625850340136057E-2</v>
      </c>
      <c r="E14">
        <v>2.564102564102564E-2</v>
      </c>
    </row>
    <row r="15" spans="1:5">
      <c r="A15" t="s">
        <v>18</v>
      </c>
      <c r="C15">
        <v>-5.970149253731287E-3</v>
      </c>
      <c r="D15">
        <v>0</v>
      </c>
      <c r="E15">
        <v>2.1739130434782609E-3</v>
      </c>
    </row>
    <row r="16" spans="1:5">
      <c r="A16" t="s">
        <v>19</v>
      </c>
      <c r="C16">
        <v>1.101101101101095E-2</v>
      </c>
      <c r="D16">
        <v>3.1948881789137379E-3</v>
      </c>
      <c r="E16">
        <v>-1.193058568329718E-2</v>
      </c>
    </row>
    <row r="17" spans="1:5">
      <c r="A17" t="s">
        <v>20</v>
      </c>
      <c r="C17">
        <v>-4.9504950495049514E-3</v>
      </c>
      <c r="D17">
        <v>-1.592356687898089E-3</v>
      </c>
      <c r="E17">
        <v>2.7442371020856199E-2</v>
      </c>
    </row>
    <row r="18" spans="1:5">
      <c r="A18" t="s">
        <v>21</v>
      </c>
      <c r="C18">
        <v>1.492537313432836E-2</v>
      </c>
      <c r="D18">
        <v>2.3923444976076551E-2</v>
      </c>
      <c r="E18">
        <v>7.478632478632479E-3</v>
      </c>
    </row>
    <row r="19" spans="1:5">
      <c r="A19" t="s">
        <v>22</v>
      </c>
      <c r="C19">
        <v>4.9019607843137254E-3</v>
      </c>
      <c r="D19">
        <v>3.1152647975077881E-3</v>
      </c>
      <c r="E19">
        <v>-7.423117709437964E-3</v>
      </c>
    </row>
    <row r="20" spans="1:5">
      <c r="A20" t="s">
        <v>23</v>
      </c>
      <c r="C20">
        <v>0</v>
      </c>
      <c r="D20">
        <v>6.2111801242236021E-3</v>
      </c>
      <c r="E20">
        <v>2.136752136752137E-3</v>
      </c>
    </row>
    <row r="21" spans="1:5">
      <c r="A21" t="s">
        <v>24</v>
      </c>
      <c r="C21">
        <v>-4.8780487804878049E-3</v>
      </c>
      <c r="D21">
        <v>-9.2592592592592587E-3</v>
      </c>
      <c r="E21">
        <v>2.6652452025586349E-2</v>
      </c>
    </row>
    <row r="22" spans="1:5">
      <c r="A22" t="s">
        <v>25</v>
      </c>
      <c r="C22">
        <v>4.9019607843137254E-3</v>
      </c>
      <c r="D22">
        <v>-2.180685358255452E-2</v>
      </c>
      <c r="E22">
        <v>3.1152647975077881E-3</v>
      </c>
    </row>
    <row r="23" spans="1:5">
      <c r="A23" t="s">
        <v>26</v>
      </c>
      <c r="C23">
        <v>4.8780487804878049E-3</v>
      </c>
      <c r="D23">
        <v>0</v>
      </c>
      <c r="E23">
        <v>-3.7267080745341623E-2</v>
      </c>
    </row>
    <row r="24" spans="1:5">
      <c r="A24" t="s">
        <v>27</v>
      </c>
      <c r="C24">
        <v>-9.7087378640776691E-3</v>
      </c>
      <c r="D24">
        <v>1.114649681528662E-2</v>
      </c>
      <c r="E24">
        <v>6.4516129032258056E-3</v>
      </c>
    </row>
    <row r="25" spans="1:5">
      <c r="A25" t="s">
        <v>28</v>
      </c>
      <c r="C25">
        <v>-4.9019607843137254E-3</v>
      </c>
      <c r="D25">
        <v>1.7322834645669291E-2</v>
      </c>
      <c r="E25">
        <v>1.068376068376068E-3</v>
      </c>
    </row>
    <row r="26" spans="1:5">
      <c r="A26" t="s">
        <v>29</v>
      </c>
      <c r="C26">
        <v>-4.9261083743842374E-3</v>
      </c>
      <c r="D26">
        <v>7.8947368421052627E-2</v>
      </c>
      <c r="E26">
        <v>3.7353255069370331E-2</v>
      </c>
    </row>
    <row r="27" spans="1:5">
      <c r="A27" t="s">
        <v>30</v>
      </c>
      <c r="C27">
        <v>4.9504950495049514E-3</v>
      </c>
      <c r="D27">
        <v>-2.0086083213773309E-2</v>
      </c>
      <c r="E27">
        <v>-2.05761316872428E-3</v>
      </c>
    </row>
    <row r="28" spans="1:5">
      <c r="A28" t="s">
        <v>31</v>
      </c>
      <c r="C28">
        <v>1.477832512315271E-2</v>
      </c>
      <c r="D28">
        <v>-7.320644216691069E-3</v>
      </c>
      <c r="E28">
        <v>-7.2164948453608251E-3</v>
      </c>
    </row>
    <row r="29" spans="1:5">
      <c r="A29" t="s">
        <v>32</v>
      </c>
      <c r="C29">
        <v>4.8543689320388354E-3</v>
      </c>
      <c r="D29">
        <v>1.3274336283185841E-2</v>
      </c>
      <c r="E29">
        <v>1.9730010384215992E-2</v>
      </c>
    </row>
    <row r="30" spans="1:5">
      <c r="A30" t="s">
        <v>33</v>
      </c>
      <c r="C30">
        <v>-4.830917874396135E-3</v>
      </c>
      <c r="D30">
        <v>-8.7336244541484712E-3</v>
      </c>
      <c r="E30">
        <v>-1.018329938900204E-3</v>
      </c>
    </row>
    <row r="31" spans="1:5">
      <c r="A31" t="s">
        <v>34</v>
      </c>
      <c r="C31">
        <v>4.8543689320388354E-3</v>
      </c>
      <c r="D31">
        <v>1.6152716593245232E-2</v>
      </c>
      <c r="E31">
        <v>3.4658511722731912E-2</v>
      </c>
    </row>
    <row r="32" spans="1:5">
      <c r="A32" t="s">
        <v>35</v>
      </c>
      <c r="C32">
        <v>-4.830917874396135E-3</v>
      </c>
      <c r="D32">
        <v>7.2254335260115614E-3</v>
      </c>
      <c r="E32">
        <v>8.3743842364532015E-2</v>
      </c>
    </row>
    <row r="33" spans="1:5">
      <c r="A33" t="s">
        <v>36</v>
      </c>
      <c r="C33">
        <v>4.8543689320388354E-3</v>
      </c>
      <c r="D33">
        <v>1.434720229555237E-3</v>
      </c>
      <c r="E33">
        <v>1.3636363636363639E-2</v>
      </c>
    </row>
    <row r="34" spans="1:5">
      <c r="A34" t="s">
        <v>37</v>
      </c>
      <c r="C34">
        <v>0</v>
      </c>
      <c r="D34">
        <v>0</v>
      </c>
      <c r="E34">
        <v>0</v>
      </c>
    </row>
    <row r="35" spans="1:5">
      <c r="A35" t="s">
        <v>38</v>
      </c>
      <c r="C35">
        <v>-4.830917874396135E-3</v>
      </c>
      <c r="D35">
        <v>-1.1461318051575929E-2</v>
      </c>
      <c r="E35">
        <v>2.2421524663677129E-2</v>
      </c>
    </row>
    <row r="36" spans="1:5">
      <c r="A36" t="s">
        <v>39</v>
      </c>
      <c r="C36">
        <v>-9.7087378640776691E-3</v>
      </c>
      <c r="D36">
        <v>-1.449275362318841E-3</v>
      </c>
      <c r="E36">
        <v>-3.0701754385964911E-2</v>
      </c>
    </row>
    <row r="37" spans="1:5">
      <c r="A37" t="s">
        <v>40</v>
      </c>
      <c r="C37">
        <v>4.4117647058823532E-2</v>
      </c>
      <c r="D37">
        <v>5.2249637155297533E-2</v>
      </c>
      <c r="E37">
        <v>4.072398190045249E-2</v>
      </c>
    </row>
    <row r="38" spans="1:5">
      <c r="A38" t="s">
        <v>41</v>
      </c>
      <c r="C38">
        <v>0</v>
      </c>
      <c r="D38">
        <v>6.8965517241379309E-3</v>
      </c>
      <c r="E38">
        <v>4.3478260869565218E-3</v>
      </c>
    </row>
    <row r="39" spans="1:5">
      <c r="A39" t="s">
        <v>42</v>
      </c>
      <c r="C39">
        <v>0</v>
      </c>
      <c r="D39">
        <v>6.8493150684931503E-3</v>
      </c>
      <c r="E39">
        <v>3.03030303030303E-2</v>
      </c>
    </row>
    <row r="40" spans="1:5">
      <c r="A40" t="s">
        <v>43</v>
      </c>
      <c r="C40">
        <v>9.3896713615023476E-3</v>
      </c>
      <c r="D40">
        <v>3.4013605442176867E-2</v>
      </c>
      <c r="E40">
        <v>3.3613445378151259E-2</v>
      </c>
    </row>
    <row r="41" spans="1:5">
      <c r="A41" t="s">
        <v>44</v>
      </c>
      <c r="C41">
        <v>-2.3255813953488368E-2</v>
      </c>
      <c r="D41">
        <v>3.1578947368421047E-2</v>
      </c>
      <c r="E41">
        <v>0</v>
      </c>
    </row>
    <row r="42" spans="1:5">
      <c r="A42" t="s">
        <v>45</v>
      </c>
      <c r="C42">
        <v>4.2857142857142858E-2</v>
      </c>
      <c r="D42">
        <v>-2.2959183673469389E-2</v>
      </c>
      <c r="E42">
        <v>-4.0650406504065036E-3</v>
      </c>
    </row>
    <row r="43" spans="1:5">
      <c r="A43" t="s">
        <v>46</v>
      </c>
      <c r="C43">
        <v>8.6757990867579904E-2</v>
      </c>
      <c r="D43">
        <v>5.2219321148825066E-3</v>
      </c>
      <c r="E43">
        <v>-8.1632653061224497E-3</v>
      </c>
    </row>
    <row r="44" spans="1:5">
      <c r="A44" t="s">
        <v>47</v>
      </c>
      <c r="C44">
        <v>1.260504201680672E-2</v>
      </c>
      <c r="D44">
        <v>1.168831168831169E-2</v>
      </c>
      <c r="E44">
        <v>0</v>
      </c>
    </row>
    <row r="45" spans="1:5">
      <c r="A45" t="s">
        <v>48</v>
      </c>
      <c r="C45">
        <v>4.1493775933609959E-3</v>
      </c>
      <c r="D45">
        <v>6.4184852374839542E-3</v>
      </c>
      <c r="E45">
        <v>-5.3497942386831282E-2</v>
      </c>
    </row>
    <row r="46" spans="1:5">
      <c r="A46" t="s">
        <v>49</v>
      </c>
      <c r="C46">
        <v>9.0909090909090912E-2</v>
      </c>
      <c r="D46">
        <v>-3.9540816326530608E-2</v>
      </c>
      <c r="E46">
        <v>-1.3043478260869559E-2</v>
      </c>
    </row>
    <row r="47" spans="1:5">
      <c r="A47" t="s">
        <v>50</v>
      </c>
      <c r="C47">
        <v>3.03030303030303E-2</v>
      </c>
      <c r="D47">
        <v>1.460823373173971E-2</v>
      </c>
      <c r="E47">
        <v>3.083700440528634E-2</v>
      </c>
    </row>
    <row r="48" spans="1:5">
      <c r="A48" t="s">
        <v>51</v>
      </c>
      <c r="C48">
        <v>0</v>
      </c>
      <c r="D48">
        <v>-2.617801047120419E-3</v>
      </c>
      <c r="E48">
        <v>-1.7094017094017099E-2</v>
      </c>
    </row>
    <row r="49" spans="1:5">
      <c r="A49" t="s">
        <v>52</v>
      </c>
      <c r="C49">
        <v>1.470588235294118E-2</v>
      </c>
      <c r="D49">
        <v>-5.2493438320209973E-3</v>
      </c>
      <c r="E49">
        <v>-1.7391304347826091E-2</v>
      </c>
    </row>
    <row r="50" spans="1:5">
      <c r="A50" t="s">
        <v>53</v>
      </c>
      <c r="C50">
        <v>3.2608695652173912E-2</v>
      </c>
      <c r="D50">
        <v>3.430079155672823E-2</v>
      </c>
      <c r="E50">
        <v>8.8495575221238937E-3</v>
      </c>
    </row>
    <row r="51" spans="1:5">
      <c r="A51" t="s">
        <v>54</v>
      </c>
      <c r="C51">
        <v>2.1052631578947371E-2</v>
      </c>
      <c r="D51">
        <v>1.275510204081633E-3</v>
      </c>
      <c r="E51">
        <v>-1.3157894736842099E-2</v>
      </c>
    </row>
    <row r="52" spans="1:5">
      <c r="A52" t="s">
        <v>55</v>
      </c>
      <c r="C52">
        <v>0</v>
      </c>
      <c r="D52">
        <v>-6.369426751592357E-3</v>
      </c>
      <c r="E52">
        <v>-4.4444444444444436E-3</v>
      </c>
    </row>
    <row r="53" spans="1:5">
      <c r="A53" t="s">
        <v>56</v>
      </c>
      <c r="C53">
        <v>-2.4054982817869421E-2</v>
      </c>
      <c r="D53">
        <v>2.5641025641025641E-3</v>
      </c>
      <c r="E53">
        <v>8.9285714285714281E-3</v>
      </c>
    </row>
    <row r="54" spans="1:5">
      <c r="A54" t="s">
        <v>57</v>
      </c>
      <c r="C54">
        <v>4.5774647887323952E-2</v>
      </c>
      <c r="D54">
        <v>-3.8363171355498718E-3</v>
      </c>
      <c r="E54">
        <v>3.0973451327433631E-2</v>
      </c>
    </row>
    <row r="55" spans="1:5">
      <c r="A55" t="s">
        <v>58</v>
      </c>
      <c r="C55">
        <v>4.7138047138047139E-2</v>
      </c>
      <c r="D55">
        <v>-1.283697047496791E-2</v>
      </c>
      <c r="E55">
        <v>-4.2918454935622317E-3</v>
      </c>
    </row>
    <row r="56" spans="1:5">
      <c r="A56" t="s">
        <v>59</v>
      </c>
      <c r="C56">
        <v>-3.5369774919614148E-2</v>
      </c>
      <c r="D56">
        <v>1.30039011703511E-2</v>
      </c>
      <c r="E56">
        <v>3.017241379310345E-2</v>
      </c>
    </row>
    <row r="57" spans="1:5">
      <c r="A57" t="s">
        <v>60</v>
      </c>
      <c r="C57">
        <v>3.333333333333334E-3</v>
      </c>
      <c r="D57">
        <v>-1.155327342747112E-2</v>
      </c>
      <c r="E57">
        <v>-2.928870292887029E-2</v>
      </c>
    </row>
    <row r="58" spans="1:5">
      <c r="A58" t="s">
        <v>61</v>
      </c>
      <c r="C58">
        <v>5.647840531561462E-2</v>
      </c>
      <c r="D58">
        <v>2.5974025974025979E-2</v>
      </c>
      <c r="E58">
        <v>4.3103448275862068E-3</v>
      </c>
    </row>
    <row r="59" spans="1:5">
      <c r="A59" t="s">
        <v>62</v>
      </c>
      <c r="C59">
        <v>0</v>
      </c>
      <c r="D59">
        <v>-1.2658227848101271E-2</v>
      </c>
      <c r="E59">
        <v>-4.2918454935622317E-3</v>
      </c>
    </row>
    <row r="60" spans="1:5">
      <c r="A60" t="s">
        <v>63</v>
      </c>
      <c r="C60">
        <v>-6.2893081761006293E-3</v>
      </c>
      <c r="D60">
        <v>3.8461538461538459E-3</v>
      </c>
      <c r="E60">
        <v>-8.6206896551724137E-3</v>
      </c>
    </row>
    <row r="61" spans="1:5">
      <c r="A61" t="s">
        <v>64</v>
      </c>
      <c r="C61">
        <v>0</v>
      </c>
      <c r="D61">
        <v>4.5977011494252873E-2</v>
      </c>
      <c r="E61">
        <v>8.6956521739130436E-3</v>
      </c>
    </row>
    <row r="62" spans="1:5">
      <c r="A62" t="s">
        <v>65</v>
      </c>
      <c r="C62">
        <v>-2.2151898734177219E-2</v>
      </c>
      <c r="D62">
        <v>-4.884004884004884E-3</v>
      </c>
      <c r="E62">
        <v>3.017241379310345E-2</v>
      </c>
    </row>
    <row r="63" spans="1:5">
      <c r="A63" t="s">
        <v>66</v>
      </c>
      <c r="C63">
        <v>-2.9126213592233011E-2</v>
      </c>
      <c r="D63">
        <v>6.1349693251533744E-3</v>
      </c>
      <c r="E63">
        <v>4.1841004184100406E-3</v>
      </c>
    </row>
    <row r="64" spans="1:5">
      <c r="A64" t="s">
        <v>67</v>
      </c>
      <c r="C64">
        <v>3.333333333333334E-3</v>
      </c>
      <c r="D64">
        <v>-2.439024390243902E-3</v>
      </c>
      <c r="E64">
        <v>-1.666666666666667E-2</v>
      </c>
    </row>
    <row r="65" spans="1:5">
      <c r="A65" t="s">
        <v>68</v>
      </c>
      <c r="C65">
        <v>-2.9900332225913619E-2</v>
      </c>
      <c r="D65">
        <v>-1.466992665036675E-2</v>
      </c>
      <c r="E65">
        <v>-5.9322033898305093E-2</v>
      </c>
    </row>
    <row r="66" spans="1:5">
      <c r="A66" t="s">
        <v>69</v>
      </c>
      <c r="C66">
        <v>-3.4246575342465752E-2</v>
      </c>
      <c r="D66">
        <v>-2.2332506203473941E-2</v>
      </c>
      <c r="E66">
        <v>-4.954954954954955E-2</v>
      </c>
    </row>
    <row r="67" spans="1:5">
      <c r="A67" t="s">
        <v>70</v>
      </c>
      <c r="C67">
        <v>3.9007092198581561E-2</v>
      </c>
      <c r="D67">
        <v>2.030456852791878E-2</v>
      </c>
      <c r="E67">
        <v>-4.7393364928909956E-3</v>
      </c>
    </row>
    <row r="68" spans="1:5">
      <c r="A68" t="s">
        <v>71</v>
      </c>
      <c r="C68">
        <v>1.0238907849829349E-2</v>
      </c>
      <c r="D68">
        <v>0</v>
      </c>
      <c r="E68">
        <v>0</v>
      </c>
    </row>
    <row r="69" spans="1:5">
      <c r="A69" t="s">
        <v>72</v>
      </c>
      <c r="C69">
        <v>-3.3783783783783793E-2</v>
      </c>
      <c r="D69">
        <v>-6.7164179104477612E-2</v>
      </c>
      <c r="E69">
        <v>-5.4285714285714277E-2</v>
      </c>
    </row>
    <row r="70" spans="1:5">
      <c r="A70" t="s">
        <v>73</v>
      </c>
      <c r="C70">
        <v>0</v>
      </c>
      <c r="D70">
        <v>-1.066666666666667E-2</v>
      </c>
      <c r="E70">
        <v>-2.719033232628399E-2</v>
      </c>
    </row>
    <row r="71" spans="1:5">
      <c r="A71" t="s">
        <v>74</v>
      </c>
      <c r="C71">
        <v>6.993006993006993E-3</v>
      </c>
      <c r="D71">
        <v>1.6172506738544479E-2</v>
      </c>
      <c r="E71">
        <v>6.2111801242236021E-3</v>
      </c>
    </row>
    <row r="72" spans="1:5">
      <c r="A72" t="s">
        <v>75</v>
      </c>
      <c r="C72">
        <v>8.3333333333333329E-2</v>
      </c>
      <c r="D72">
        <v>3.8461538461538457E-2</v>
      </c>
      <c r="E72">
        <v>3.9094650205761319E-2</v>
      </c>
    </row>
    <row r="73" spans="1:5">
      <c r="A73" t="s">
        <v>76</v>
      </c>
      <c r="C73">
        <v>-2.8846153846153851E-2</v>
      </c>
      <c r="D73">
        <v>-2.171136653895275E-2</v>
      </c>
      <c r="E73">
        <v>-2.8712871287128711E-2</v>
      </c>
    </row>
    <row r="74" spans="1:5">
      <c r="A74" t="s">
        <v>77</v>
      </c>
      <c r="C74">
        <v>2.3102310231023101E-2</v>
      </c>
      <c r="D74">
        <v>2.088772845953003E-2</v>
      </c>
      <c r="E74">
        <v>2.4464831804281349E-2</v>
      </c>
    </row>
    <row r="75" spans="1:5">
      <c r="A75" t="s">
        <v>78</v>
      </c>
      <c r="C75">
        <v>2.2580645161290321E-2</v>
      </c>
      <c r="D75">
        <v>1.6624040920716111E-2</v>
      </c>
      <c r="E75">
        <v>9.9502487562189053E-3</v>
      </c>
    </row>
    <row r="76" spans="1:5">
      <c r="A76" t="s">
        <v>79</v>
      </c>
      <c r="C76">
        <v>-1.577287066246057E-2</v>
      </c>
      <c r="D76">
        <v>-6.2893081761006293E-3</v>
      </c>
      <c r="E76">
        <v>-2.266009852216749E-2</v>
      </c>
    </row>
    <row r="77" spans="1:5">
      <c r="A77" t="s">
        <v>80</v>
      </c>
      <c r="C77">
        <v>-1.282051282051282E-2</v>
      </c>
      <c r="D77">
        <v>-2.2784810126582278E-2</v>
      </c>
      <c r="E77">
        <v>8.0645161290322578E-3</v>
      </c>
    </row>
    <row r="78" spans="1:5">
      <c r="A78" t="s">
        <v>81</v>
      </c>
      <c r="C78">
        <v>1.298701298701299E-2</v>
      </c>
      <c r="D78">
        <v>1.036269430051814E-2</v>
      </c>
      <c r="E78">
        <v>0.04</v>
      </c>
    </row>
    <row r="79" spans="1:5">
      <c r="A79" t="s">
        <v>82</v>
      </c>
      <c r="C79">
        <v>7.371794871794872E-2</v>
      </c>
      <c r="D79">
        <v>7.6923076923076927E-3</v>
      </c>
      <c r="E79">
        <v>-4.807692307692308E-3</v>
      </c>
    </row>
    <row r="80" spans="1:5">
      <c r="A80" t="s">
        <v>83</v>
      </c>
      <c r="C80">
        <v>1.194029850746269E-2</v>
      </c>
      <c r="D80">
        <v>1.7811704834605601E-2</v>
      </c>
      <c r="E80">
        <v>9.6618357487922701E-3</v>
      </c>
    </row>
    <row r="81" spans="1:5">
      <c r="A81" t="s">
        <v>84</v>
      </c>
      <c r="C81">
        <v>0</v>
      </c>
      <c r="D81">
        <v>2.5000000000000001E-3</v>
      </c>
      <c r="E81">
        <v>4.784688995215311E-2</v>
      </c>
    </row>
    <row r="82" spans="1:5">
      <c r="A82" t="s">
        <v>85</v>
      </c>
      <c r="C82">
        <v>5.8997050147492616E-3</v>
      </c>
      <c r="D82">
        <v>-7.481296758104738E-3</v>
      </c>
      <c r="E82">
        <v>0</v>
      </c>
    </row>
    <row r="83" spans="1:5">
      <c r="A83" t="s">
        <v>86</v>
      </c>
      <c r="C83">
        <v>-5.8651026392961877E-3</v>
      </c>
      <c r="D83">
        <v>7.537688442211055E-3</v>
      </c>
      <c r="E83">
        <v>0</v>
      </c>
    </row>
    <row r="84" spans="1:5">
      <c r="A84" t="s">
        <v>87</v>
      </c>
      <c r="C84">
        <v>0</v>
      </c>
      <c r="D84">
        <v>2.119700748129676E-2</v>
      </c>
      <c r="E84">
        <v>1.8264840182648401E-2</v>
      </c>
    </row>
    <row r="85" spans="1:5">
      <c r="A85" t="s">
        <v>88</v>
      </c>
      <c r="C85">
        <v>1.474926253687316E-2</v>
      </c>
      <c r="D85">
        <v>7.326007326007326E-3</v>
      </c>
      <c r="E85">
        <v>3.5874439461883408E-2</v>
      </c>
    </row>
    <row r="86" spans="1:5">
      <c r="A86" t="s">
        <v>89</v>
      </c>
      <c r="C86">
        <v>-8.7209302325581394E-3</v>
      </c>
      <c r="D86">
        <v>1.6969696969696971E-2</v>
      </c>
      <c r="E86">
        <v>0</v>
      </c>
    </row>
    <row r="87" spans="1:5">
      <c r="A87" t="s">
        <v>90</v>
      </c>
      <c r="C87">
        <v>5.8651026392961877E-3</v>
      </c>
      <c r="D87">
        <v>2.383790226460071E-3</v>
      </c>
      <c r="E87">
        <v>3.03030303030303E-2</v>
      </c>
    </row>
    <row r="88" spans="1:5">
      <c r="A88" t="s">
        <v>91</v>
      </c>
      <c r="C88">
        <v>-8.7463556851311956E-3</v>
      </c>
      <c r="D88">
        <v>-7.1343638525564806E-3</v>
      </c>
      <c r="E88">
        <v>-2.100840336134454E-2</v>
      </c>
    </row>
    <row r="89" spans="1:5">
      <c r="A89" t="s">
        <v>92</v>
      </c>
      <c r="C89">
        <v>-1.470588235294118E-2</v>
      </c>
      <c r="D89">
        <v>0</v>
      </c>
      <c r="E89">
        <v>2.1459227467811159E-2</v>
      </c>
    </row>
    <row r="90" spans="1:5">
      <c r="A90" t="s">
        <v>93</v>
      </c>
      <c r="C90">
        <v>-8.9552238805970154E-3</v>
      </c>
      <c r="D90">
        <v>7.18562874251497E-3</v>
      </c>
      <c r="E90">
        <v>-1.260504201680672E-2</v>
      </c>
    </row>
    <row r="91" spans="1:5">
      <c r="A91" t="s">
        <v>94</v>
      </c>
      <c r="C91">
        <v>1.8072289156626509E-2</v>
      </c>
      <c r="D91">
        <v>2.734839476813317E-2</v>
      </c>
      <c r="E91">
        <v>8.5106382978723406E-3</v>
      </c>
    </row>
    <row r="92" spans="1:5">
      <c r="A92" t="s">
        <v>95</v>
      </c>
      <c r="C92">
        <v>2.3668639053254441E-2</v>
      </c>
      <c r="D92">
        <v>1.2731481481481481E-2</v>
      </c>
      <c r="E92">
        <v>1.687763713080169E-2</v>
      </c>
    </row>
    <row r="93" spans="1:5">
      <c r="A93" t="s">
        <v>96</v>
      </c>
      <c r="C93">
        <v>1.734104046242774E-2</v>
      </c>
      <c r="D93">
        <v>-9.1428571428571435E-3</v>
      </c>
      <c r="E93">
        <v>-8.2987551867219917E-3</v>
      </c>
    </row>
    <row r="94" spans="1:5">
      <c r="A94" t="s">
        <v>97</v>
      </c>
      <c r="C94">
        <v>5.113636363636364E-2</v>
      </c>
      <c r="D94">
        <v>2.306805074971165E-3</v>
      </c>
      <c r="E94">
        <v>7.5313807531380755E-2</v>
      </c>
    </row>
    <row r="95" spans="1:5">
      <c r="A95" t="s">
        <v>98</v>
      </c>
      <c r="C95">
        <v>2.7027027027027029E-3</v>
      </c>
      <c r="D95">
        <v>-4.6029919447640967E-3</v>
      </c>
      <c r="E95">
        <v>1.9455252918287941E-2</v>
      </c>
    </row>
    <row r="96" spans="1:5">
      <c r="A96" t="s">
        <v>99</v>
      </c>
      <c r="C96">
        <v>-2.6954177897574129E-2</v>
      </c>
      <c r="D96">
        <v>-9.2485549132947983E-3</v>
      </c>
      <c r="E96">
        <v>-1.526717557251908E-2</v>
      </c>
    </row>
    <row r="97" spans="1:5">
      <c r="A97" t="s">
        <v>100</v>
      </c>
      <c r="C97">
        <v>-2.2160664819944598E-2</v>
      </c>
      <c r="D97">
        <v>-2.2170361726954489E-2</v>
      </c>
      <c r="E97">
        <v>0</v>
      </c>
    </row>
    <row r="98" spans="1:5">
      <c r="A98" t="s">
        <v>101</v>
      </c>
      <c r="C98">
        <v>-2.54957507082153E-2</v>
      </c>
      <c r="D98">
        <v>-2.028639618138425E-2</v>
      </c>
      <c r="E98">
        <v>-4.2635658914728682E-2</v>
      </c>
    </row>
    <row r="99" spans="1:5">
      <c r="A99" t="s">
        <v>102</v>
      </c>
      <c r="C99">
        <v>2.616279069767442E-2</v>
      </c>
      <c r="D99">
        <v>3.0450669914738129E-2</v>
      </c>
      <c r="E99">
        <v>2.8340080971659919E-2</v>
      </c>
    </row>
    <row r="100" spans="1:5">
      <c r="A100" t="s">
        <v>103</v>
      </c>
      <c r="C100">
        <v>-3.1161473087818699E-2</v>
      </c>
      <c r="D100">
        <v>-8.2742316784869974E-3</v>
      </c>
      <c r="E100">
        <v>-2.3622047244094491E-2</v>
      </c>
    </row>
    <row r="101" spans="1:5">
      <c r="A101" t="s">
        <v>104</v>
      </c>
      <c r="C101">
        <v>2.6315789473684209E-2</v>
      </c>
      <c r="D101">
        <v>1.787842669845054E-2</v>
      </c>
      <c r="E101">
        <v>-8.0645161290322578E-3</v>
      </c>
    </row>
    <row r="102" spans="1:5">
      <c r="A102" t="s">
        <v>105</v>
      </c>
      <c r="C102">
        <v>1.13960113960114E-2</v>
      </c>
      <c r="D102">
        <v>4.6838407494145202E-2</v>
      </c>
      <c r="E102">
        <v>4.878048780487805E-2</v>
      </c>
    </row>
    <row r="103" spans="1:5">
      <c r="A103" t="s">
        <v>106</v>
      </c>
      <c r="C103">
        <v>0</v>
      </c>
      <c r="D103">
        <v>-1.6778523489932889E-2</v>
      </c>
      <c r="E103">
        <v>-1.1627906976744189E-2</v>
      </c>
    </row>
    <row r="104" spans="1:5">
      <c r="A104" t="s">
        <v>107</v>
      </c>
      <c r="C104">
        <v>1.690140845070422E-2</v>
      </c>
      <c r="D104">
        <v>4.5506257110352671E-3</v>
      </c>
      <c r="E104">
        <v>-3.9215686274509803E-3</v>
      </c>
    </row>
    <row r="105" spans="1:5">
      <c r="A105" t="s">
        <v>108</v>
      </c>
      <c r="C105">
        <v>3.8781163434903038E-2</v>
      </c>
      <c r="D105">
        <v>2.9445073612684031E-2</v>
      </c>
      <c r="E105">
        <v>2.3622047244094491E-2</v>
      </c>
    </row>
    <row r="106" spans="1:5">
      <c r="A106" t="s">
        <v>109</v>
      </c>
      <c r="C106">
        <v>2.4E-2</v>
      </c>
      <c r="D106">
        <v>1.1001100110011E-2</v>
      </c>
      <c r="E106">
        <v>6.5384615384615388E-2</v>
      </c>
    </row>
    <row r="107" spans="1:5">
      <c r="A107" t="s">
        <v>110</v>
      </c>
      <c r="C107">
        <v>3.125E-2</v>
      </c>
      <c r="D107">
        <v>3.2644178454842221E-3</v>
      </c>
      <c r="E107">
        <v>7.2202166064981952E-3</v>
      </c>
    </row>
    <row r="108" spans="1:5">
      <c r="A108" t="s">
        <v>111</v>
      </c>
      <c r="C108">
        <v>1.01010101010101E-2</v>
      </c>
      <c r="D108">
        <v>-1.0845986984815621E-3</v>
      </c>
      <c r="E108">
        <v>-1.075268817204301E-2</v>
      </c>
    </row>
    <row r="109" spans="1:5">
      <c r="A109" t="s">
        <v>112</v>
      </c>
      <c r="C109">
        <v>-7.4999999999999997E-3</v>
      </c>
      <c r="D109">
        <v>2.3887079261672099E-2</v>
      </c>
      <c r="E109">
        <v>1.8115942028985511E-2</v>
      </c>
    </row>
    <row r="110" spans="1:5">
      <c r="A110" t="s">
        <v>113</v>
      </c>
      <c r="C110">
        <v>2.2670025188916879E-2</v>
      </c>
      <c r="D110">
        <v>4.0296924708377521E-2</v>
      </c>
      <c r="E110">
        <v>5.6939501779359428E-2</v>
      </c>
    </row>
    <row r="111" spans="1:5">
      <c r="A111" t="s">
        <v>114</v>
      </c>
      <c r="C111">
        <v>7.1428571428571425E-2</v>
      </c>
      <c r="D111">
        <v>0</v>
      </c>
      <c r="E111">
        <v>1.01010101010101E-2</v>
      </c>
    </row>
    <row r="112" spans="1:5">
      <c r="A112" t="s">
        <v>115</v>
      </c>
      <c r="C112">
        <v>-2.528735632183908E-2</v>
      </c>
      <c r="D112">
        <v>-1.121304791029562E-2</v>
      </c>
      <c r="E112">
        <v>-6.6666666666666671E-3</v>
      </c>
    </row>
    <row r="113" spans="1:5">
      <c r="A113" t="s">
        <v>116</v>
      </c>
      <c r="C113">
        <v>-2.8301886792452831E-2</v>
      </c>
      <c r="D113">
        <v>-3.0927835051546389E-2</v>
      </c>
      <c r="E113">
        <v>-5.3691275167785227E-2</v>
      </c>
    </row>
    <row r="114" spans="1:5">
      <c r="A114" t="s">
        <v>117</v>
      </c>
      <c r="C114">
        <v>2.4271844660194171E-2</v>
      </c>
      <c r="D114">
        <v>5.3191489361702126E-3</v>
      </c>
      <c r="E114">
        <v>-1.7730496453900711E-2</v>
      </c>
    </row>
    <row r="115" spans="1:5">
      <c r="A115" t="s">
        <v>118</v>
      </c>
      <c r="C115">
        <v>-4.7393364928909956E-3</v>
      </c>
      <c r="D115">
        <v>1.5873015873015869E-2</v>
      </c>
      <c r="E115">
        <v>1.444043321299639E-2</v>
      </c>
    </row>
    <row r="116" spans="1:5">
      <c r="A116" t="s">
        <v>119</v>
      </c>
      <c r="C116">
        <v>1.1904761904761901E-2</v>
      </c>
      <c r="D116">
        <v>0</v>
      </c>
      <c r="E116">
        <v>-7.1174377224199276E-3</v>
      </c>
    </row>
    <row r="117" spans="1:5">
      <c r="A117" t="s">
        <v>120</v>
      </c>
      <c r="C117">
        <v>7.058823529411765E-3</v>
      </c>
      <c r="D117">
        <v>6.2500000000000003E-3</v>
      </c>
      <c r="E117">
        <v>3.584229390681004E-3</v>
      </c>
    </row>
    <row r="118" spans="1:5">
      <c r="A118" t="s">
        <v>121</v>
      </c>
      <c r="C118">
        <v>9.3457943925233638E-3</v>
      </c>
      <c r="D118">
        <v>2.070393374741201E-3</v>
      </c>
      <c r="E118">
        <v>1.0714285714285709E-2</v>
      </c>
    </row>
    <row r="119" spans="1:5">
      <c r="A119" t="s">
        <v>122</v>
      </c>
      <c r="C119">
        <v>-5.3240740740740741E-2</v>
      </c>
      <c r="D119">
        <v>-8.2644628099173556E-3</v>
      </c>
      <c r="E119">
        <v>-3.53356890459364E-3</v>
      </c>
    </row>
    <row r="120" spans="1:5">
      <c r="A120" t="s">
        <v>123</v>
      </c>
      <c r="C120">
        <v>-7.3349633251833741E-3</v>
      </c>
      <c r="D120">
        <v>1.9791666666666669E-2</v>
      </c>
      <c r="E120">
        <v>-3.5460992907801422E-3</v>
      </c>
    </row>
    <row r="121" spans="1:5">
      <c r="A121" t="s">
        <v>124</v>
      </c>
      <c r="C121">
        <v>5.6650246305418719E-2</v>
      </c>
      <c r="D121">
        <v>2.655771195097038E-2</v>
      </c>
      <c r="E121">
        <v>-2.1352313167259791E-2</v>
      </c>
    </row>
    <row r="122" spans="1:5">
      <c r="A122" t="s">
        <v>125</v>
      </c>
      <c r="C122">
        <v>0</v>
      </c>
      <c r="D122">
        <v>0</v>
      </c>
      <c r="E122">
        <v>-1.8181818181818181E-2</v>
      </c>
    </row>
    <row r="123" spans="1:5">
      <c r="A123" t="s">
        <v>126</v>
      </c>
      <c r="C123">
        <v>5.5944055944055937E-2</v>
      </c>
      <c r="D123">
        <v>2.9850746268656719E-2</v>
      </c>
      <c r="E123">
        <v>5.185185185185185E-2</v>
      </c>
    </row>
    <row r="124" spans="1:5">
      <c r="A124" t="s">
        <v>127</v>
      </c>
      <c r="C124">
        <v>-4.4150110375275938E-3</v>
      </c>
      <c r="D124">
        <v>4.830917874396135E-3</v>
      </c>
      <c r="E124">
        <v>2.8169014084507039E-2</v>
      </c>
    </row>
    <row r="125" spans="1:5">
      <c r="A125" t="s">
        <v>128</v>
      </c>
      <c r="C125">
        <v>-8.869179600886918E-3</v>
      </c>
      <c r="D125">
        <v>4.807692307692308E-3</v>
      </c>
      <c r="E125">
        <v>-1.7123287671232879E-2</v>
      </c>
    </row>
    <row r="126" spans="1:5">
      <c r="A126" t="s">
        <v>129</v>
      </c>
      <c r="C126">
        <v>8.948545861297539E-3</v>
      </c>
      <c r="D126">
        <v>3.3492822966507178E-2</v>
      </c>
      <c r="E126">
        <v>-1.045296167247387E-2</v>
      </c>
    </row>
    <row r="127" spans="1:5">
      <c r="A127" t="s">
        <v>130</v>
      </c>
      <c r="C127">
        <v>-4.2128603104212861E-2</v>
      </c>
      <c r="D127">
        <v>-3.7037037037037028E-2</v>
      </c>
      <c r="E127">
        <v>-4.2253521126760563E-2</v>
      </c>
    </row>
    <row r="128" spans="1:5">
      <c r="A128" t="s">
        <v>131</v>
      </c>
      <c r="C128">
        <v>2.3148148148148151E-3</v>
      </c>
      <c r="D128">
        <v>0</v>
      </c>
      <c r="E128">
        <v>-3.6764705882352941E-3</v>
      </c>
    </row>
    <row r="129" spans="1:5">
      <c r="A129" t="s">
        <v>132</v>
      </c>
      <c r="C129">
        <v>-1.6166281755196309E-2</v>
      </c>
      <c r="D129">
        <v>1.442307692307692E-2</v>
      </c>
      <c r="E129">
        <v>-7.3800738007380072E-3</v>
      </c>
    </row>
    <row r="130" spans="1:5">
      <c r="A130" t="s">
        <v>133</v>
      </c>
      <c r="C130">
        <v>-4.6948356807511738E-3</v>
      </c>
      <c r="D130">
        <v>-2.3696682464454971E-2</v>
      </c>
      <c r="E130">
        <v>-1.4869888475836431E-2</v>
      </c>
    </row>
    <row r="131" spans="1:5">
      <c r="A131" t="s">
        <v>134</v>
      </c>
      <c r="C131">
        <v>-3.7735849056603772E-2</v>
      </c>
      <c r="D131">
        <v>-2.4271844660194171E-2</v>
      </c>
      <c r="E131">
        <v>-3.3962264150943403E-2</v>
      </c>
    </row>
    <row r="132" spans="1:5">
      <c r="A132" t="s">
        <v>135</v>
      </c>
      <c r="C132">
        <v>0</v>
      </c>
      <c r="D132">
        <v>-3.482587064676617E-2</v>
      </c>
      <c r="E132">
        <v>-1.5625E-2</v>
      </c>
    </row>
    <row r="133" spans="1:5">
      <c r="A133" t="s">
        <v>136</v>
      </c>
      <c r="C133">
        <v>-5.6372549019607837E-2</v>
      </c>
      <c r="D133">
        <v>-3.1958762886597943E-2</v>
      </c>
      <c r="E133">
        <v>-2.777777777777778E-2</v>
      </c>
    </row>
    <row r="134" spans="1:5">
      <c r="A134" t="s">
        <v>137</v>
      </c>
      <c r="C134">
        <v>4.6753246753246748E-2</v>
      </c>
      <c r="D134">
        <v>4.2598509052183167E-2</v>
      </c>
      <c r="E134">
        <v>4.0816326530612242E-2</v>
      </c>
    </row>
    <row r="135" spans="1:5">
      <c r="A135" t="s">
        <v>138</v>
      </c>
      <c r="C135">
        <v>-4.7146401985111663E-2</v>
      </c>
      <c r="D135">
        <v>-5.6179775280898868E-2</v>
      </c>
      <c r="E135">
        <v>-2.3529411764705879E-2</v>
      </c>
    </row>
    <row r="136" spans="1:5">
      <c r="A136" t="s">
        <v>139</v>
      </c>
      <c r="C136">
        <v>5.208333333333333E-3</v>
      </c>
      <c r="D136">
        <v>2.1645021645021641E-2</v>
      </c>
      <c r="E136">
        <v>-4.0160642570281121E-3</v>
      </c>
    </row>
    <row r="137" spans="1:5">
      <c r="A137" t="s">
        <v>140</v>
      </c>
      <c r="C137">
        <v>1.55440414507772E-2</v>
      </c>
      <c r="D137">
        <v>-4.2372881355932203E-3</v>
      </c>
      <c r="E137">
        <v>1.209677419354839E-2</v>
      </c>
    </row>
    <row r="138" spans="1:5">
      <c r="A138" t="s">
        <v>141</v>
      </c>
      <c r="C138">
        <v>1.020408163265306E-2</v>
      </c>
      <c r="D138">
        <v>-6.382978723404255E-3</v>
      </c>
      <c r="E138">
        <v>-2.7888446215139438E-2</v>
      </c>
    </row>
    <row r="139" spans="1:5">
      <c r="A139" t="s">
        <v>142</v>
      </c>
      <c r="C139">
        <v>2.2727272727272731E-2</v>
      </c>
      <c r="D139">
        <v>2.78372591006424E-2</v>
      </c>
      <c r="E139">
        <v>-3.2786885245901641E-2</v>
      </c>
    </row>
    <row r="140" spans="1:5">
      <c r="A140" t="s">
        <v>143</v>
      </c>
      <c r="C140">
        <v>-7.9012345679012344E-2</v>
      </c>
      <c r="D140">
        <v>-5.9374999999999997E-2</v>
      </c>
      <c r="E140">
        <v>-7.6271186440677971E-2</v>
      </c>
    </row>
    <row r="141" spans="1:5">
      <c r="A141" t="s">
        <v>144</v>
      </c>
      <c r="C141">
        <v>-9.9195710455764072E-2</v>
      </c>
      <c r="D141">
        <v>-9.7452934662236992E-2</v>
      </c>
      <c r="E141">
        <v>-9.08256880733945E-2</v>
      </c>
    </row>
    <row r="142" spans="1:5">
      <c r="A142" t="s">
        <v>145</v>
      </c>
      <c r="C142">
        <v>-2.976190476190476E-3</v>
      </c>
      <c r="D142">
        <v>7.9754601226993863E-2</v>
      </c>
      <c r="E142">
        <v>8.4762865792129161E-2</v>
      </c>
    </row>
    <row r="143" spans="1:5">
      <c r="A143" t="s">
        <v>146</v>
      </c>
      <c r="C143">
        <v>1.7910447761194031E-2</v>
      </c>
      <c r="D143">
        <v>4.5454545454545463E-2</v>
      </c>
      <c r="E143">
        <v>6.9767441860465115E-2</v>
      </c>
    </row>
    <row r="144" spans="1:5">
      <c r="A144" t="s">
        <v>147</v>
      </c>
      <c r="C144">
        <v>-4.1055718475073312E-2</v>
      </c>
      <c r="D144">
        <v>-2.6086956521739129E-2</v>
      </c>
      <c r="E144">
        <v>-3.043478260869565E-2</v>
      </c>
    </row>
    <row r="145" spans="1:5">
      <c r="A145" t="s">
        <v>148</v>
      </c>
      <c r="C145">
        <v>3.0581039755351681E-2</v>
      </c>
      <c r="D145">
        <v>4.2410714285714288E-2</v>
      </c>
      <c r="E145">
        <v>8.9686098654708519E-3</v>
      </c>
    </row>
    <row r="146" spans="1:5">
      <c r="A146" t="s">
        <v>149</v>
      </c>
      <c r="C146">
        <v>4.4510385756676561E-2</v>
      </c>
      <c r="D146">
        <v>6.4239828693790149E-3</v>
      </c>
      <c r="E146">
        <v>4.4444444444444453E-2</v>
      </c>
    </row>
    <row r="147" spans="1:5">
      <c r="A147" t="s">
        <v>150</v>
      </c>
      <c r="C147">
        <v>2.8409090909090912E-2</v>
      </c>
      <c r="D147">
        <v>1.063829787234043E-3</v>
      </c>
      <c r="E147">
        <v>-1.276595744680851E-2</v>
      </c>
    </row>
    <row r="148" spans="1:5">
      <c r="A148" t="s">
        <v>151</v>
      </c>
      <c r="C148">
        <v>2.486187845303867E-2</v>
      </c>
      <c r="D148">
        <v>7.4388947927736451E-3</v>
      </c>
      <c r="E148">
        <v>2.1551724137931039E-2</v>
      </c>
    </row>
    <row r="149" spans="1:5">
      <c r="A149" t="s">
        <v>152</v>
      </c>
      <c r="C149">
        <v>-2.4258760107816711E-2</v>
      </c>
      <c r="D149">
        <v>-5.2742616033755272E-3</v>
      </c>
      <c r="E149">
        <v>-2.5316455696202531E-2</v>
      </c>
    </row>
    <row r="150" spans="1:5">
      <c r="A150" t="s">
        <v>153</v>
      </c>
      <c r="C150">
        <v>1.6574585635359119E-2</v>
      </c>
      <c r="D150">
        <v>2.757158006362672E-2</v>
      </c>
      <c r="E150">
        <v>6.4935064935064929E-2</v>
      </c>
    </row>
    <row r="151" spans="1:5">
      <c r="A151" t="s">
        <v>154</v>
      </c>
      <c r="C151">
        <v>1.630434782608696E-2</v>
      </c>
      <c r="D151">
        <v>4.1279669762641904E-3</v>
      </c>
      <c r="E151">
        <v>2.032520325203252E-2</v>
      </c>
    </row>
    <row r="152" spans="1:5">
      <c r="A152" t="s">
        <v>155</v>
      </c>
      <c r="C152">
        <v>-2.6737967914438501E-3</v>
      </c>
      <c r="D152">
        <v>0</v>
      </c>
      <c r="E152">
        <v>-3.9840637450199202E-3</v>
      </c>
    </row>
    <row r="153" spans="1:5">
      <c r="A153" t="s">
        <v>156</v>
      </c>
      <c r="C153">
        <v>-1.6085790884718499E-2</v>
      </c>
      <c r="D153">
        <v>-1.541623843782117E-2</v>
      </c>
      <c r="E153">
        <v>-2.4E-2</v>
      </c>
    </row>
    <row r="154" spans="1:5">
      <c r="A154" t="s">
        <v>157</v>
      </c>
      <c r="C154">
        <v>-2.17983651226158E-2</v>
      </c>
      <c r="D154">
        <v>-7.3068893528183713E-3</v>
      </c>
      <c r="E154">
        <v>8.1967213114754103E-3</v>
      </c>
    </row>
    <row r="155" spans="1:5">
      <c r="A155" t="s">
        <v>158</v>
      </c>
      <c r="C155">
        <v>2.7855153203342618E-3</v>
      </c>
      <c r="D155">
        <v>-2.103049421661409E-3</v>
      </c>
      <c r="E155">
        <v>-4.0650406504065036E-3</v>
      </c>
    </row>
    <row r="156" spans="1:5">
      <c r="A156" t="s">
        <v>159</v>
      </c>
      <c r="C156">
        <v>1.111111111111111E-2</v>
      </c>
      <c r="D156">
        <v>1.053740779768177E-3</v>
      </c>
      <c r="E156">
        <v>-8.1632653061224497E-3</v>
      </c>
    </row>
    <row r="157" spans="1:5">
      <c r="A157" t="s">
        <v>160</v>
      </c>
      <c r="C157">
        <v>-8.241758241758242E-3</v>
      </c>
      <c r="D157">
        <v>-8.4210526315789472E-3</v>
      </c>
      <c r="E157">
        <v>-4.11522633744856E-3</v>
      </c>
    </row>
    <row r="158" spans="1:5">
      <c r="A158" t="s">
        <v>161</v>
      </c>
      <c r="C158">
        <v>2.7700831024930751E-2</v>
      </c>
      <c r="D158">
        <v>2.3354564755838639E-2</v>
      </c>
      <c r="E158">
        <v>-8.2644628099173556E-3</v>
      </c>
    </row>
    <row r="159" spans="1:5">
      <c r="A159" t="s">
        <v>162</v>
      </c>
      <c r="C159">
        <v>-5.3908355795148251E-3</v>
      </c>
      <c r="D159">
        <v>-2.1784232365145231E-2</v>
      </c>
      <c r="E159">
        <v>4.1666666666666657E-2</v>
      </c>
    </row>
    <row r="160" spans="1:5">
      <c r="A160" t="s">
        <v>163</v>
      </c>
      <c r="C160">
        <v>0</v>
      </c>
      <c r="D160">
        <v>1.0604453870625659E-3</v>
      </c>
      <c r="E160">
        <v>-8.0000000000000002E-3</v>
      </c>
    </row>
    <row r="161" spans="1:5">
      <c r="A161" t="s">
        <v>164</v>
      </c>
      <c r="C161">
        <v>-8.130081300813009E-3</v>
      </c>
      <c r="D161">
        <v>4.2372881355932203E-3</v>
      </c>
      <c r="E161">
        <v>-1.209677419354839E-2</v>
      </c>
    </row>
    <row r="162" spans="1:5">
      <c r="A162" t="s">
        <v>165</v>
      </c>
      <c r="C162">
        <v>1.092896174863388E-2</v>
      </c>
      <c r="D162">
        <v>-8.4388185654008432E-3</v>
      </c>
      <c r="E162">
        <v>-4.0816326530612249E-3</v>
      </c>
    </row>
    <row r="163" spans="1:5">
      <c r="A163" t="s">
        <v>166</v>
      </c>
      <c r="C163">
        <v>-2.9729729729729731E-2</v>
      </c>
      <c r="D163">
        <v>-5.4255319148936172E-2</v>
      </c>
      <c r="E163">
        <v>-6.9672131147540978E-2</v>
      </c>
    </row>
    <row r="164" spans="1:5">
      <c r="A164" t="s">
        <v>167</v>
      </c>
      <c r="C164">
        <v>-2.506963788300836E-2</v>
      </c>
      <c r="D164">
        <v>1.4623172103487059E-2</v>
      </c>
      <c r="E164">
        <v>-2.2026431718061679E-2</v>
      </c>
    </row>
    <row r="165" spans="1:5">
      <c r="A165" t="s">
        <v>168</v>
      </c>
      <c r="C165">
        <v>8.5714285714285719E-3</v>
      </c>
      <c r="D165">
        <v>1.7738359201773839E-2</v>
      </c>
      <c r="E165">
        <v>3.1531531531531529E-2</v>
      </c>
    </row>
    <row r="166" spans="1:5">
      <c r="A166" t="s">
        <v>169</v>
      </c>
      <c r="C166">
        <v>-2.54957507082153E-2</v>
      </c>
      <c r="D166">
        <v>-2.0697167755991289E-2</v>
      </c>
      <c r="E166">
        <v>-3.4934497816593878E-2</v>
      </c>
    </row>
    <row r="167" spans="1:5">
      <c r="A167" t="s">
        <v>170</v>
      </c>
      <c r="C167">
        <v>-1.7441860465116279E-2</v>
      </c>
      <c r="D167">
        <v>5.5617352614015566E-3</v>
      </c>
      <c r="E167">
        <v>2.2624434389140271E-2</v>
      </c>
    </row>
    <row r="168" spans="1:5">
      <c r="A168" t="s">
        <v>171</v>
      </c>
      <c r="C168">
        <v>2.9585798816568051E-3</v>
      </c>
      <c r="D168">
        <v>-3.3185840707964601E-3</v>
      </c>
      <c r="E168">
        <v>-1.7699115044247791E-2</v>
      </c>
    </row>
    <row r="169" spans="1:5">
      <c r="A169" t="s">
        <v>172</v>
      </c>
      <c r="C169">
        <v>4.71976401179941E-2</v>
      </c>
      <c r="D169">
        <v>4.3285238623751388E-2</v>
      </c>
      <c r="E169">
        <v>4.0540540540540543E-2</v>
      </c>
    </row>
    <row r="170" spans="1:5">
      <c r="A170" t="s">
        <v>173</v>
      </c>
      <c r="C170">
        <v>-8.4507042253521118E-3</v>
      </c>
      <c r="D170">
        <v>7.4468085106382982E-3</v>
      </c>
      <c r="E170">
        <v>-2.5974025974025979E-2</v>
      </c>
    </row>
    <row r="171" spans="1:5">
      <c r="A171" t="s">
        <v>174</v>
      </c>
      <c r="C171">
        <v>2.8409090909090912E-2</v>
      </c>
      <c r="D171">
        <v>0</v>
      </c>
      <c r="E171">
        <v>4.4444444444444436E-3</v>
      </c>
    </row>
    <row r="172" spans="1:5">
      <c r="A172" t="s">
        <v>175</v>
      </c>
      <c r="C172">
        <v>-3.8674033149171269E-2</v>
      </c>
      <c r="D172">
        <v>-6.3357972544878568E-3</v>
      </c>
      <c r="E172">
        <v>-2.2123893805309731E-2</v>
      </c>
    </row>
    <row r="173" spans="1:5">
      <c r="A173" t="s">
        <v>176</v>
      </c>
      <c r="C173">
        <v>1.4367816091954019E-2</v>
      </c>
      <c r="D173">
        <v>2.019128586609989E-2</v>
      </c>
      <c r="E173">
        <v>1.357466063348416E-2</v>
      </c>
    </row>
    <row r="174" spans="1:5">
      <c r="A174" t="s">
        <v>177</v>
      </c>
      <c r="C174">
        <v>2.8328611898016999E-3</v>
      </c>
      <c r="D174">
        <v>1.3541666666666671E-2</v>
      </c>
      <c r="E174">
        <v>4.464285714285714E-3</v>
      </c>
    </row>
    <row r="175" spans="1:5">
      <c r="A175" t="s">
        <v>178</v>
      </c>
      <c r="C175">
        <v>1.6949152542372881E-2</v>
      </c>
      <c r="D175">
        <v>4.1109969167523134E-3</v>
      </c>
      <c r="E175">
        <v>1.7777777777777781E-2</v>
      </c>
    </row>
    <row r="176" spans="1:5">
      <c r="A176" t="s">
        <v>179</v>
      </c>
      <c r="C176">
        <v>1.666666666666667E-2</v>
      </c>
      <c r="D176">
        <v>1.0235414534288639E-2</v>
      </c>
      <c r="E176">
        <v>4.3668122270742363E-2</v>
      </c>
    </row>
    <row r="177" spans="1:5">
      <c r="A177" t="s">
        <v>180</v>
      </c>
      <c r="C177">
        <v>3.0054644808743172E-2</v>
      </c>
      <c r="D177">
        <v>1.82370820668693E-2</v>
      </c>
      <c r="E177">
        <v>2.5104602510460251E-2</v>
      </c>
    </row>
    <row r="178" spans="1:5">
      <c r="A178" t="s">
        <v>181</v>
      </c>
      <c r="C178">
        <v>5.3050397877984082E-3</v>
      </c>
      <c r="D178">
        <v>9.9502487562189053E-3</v>
      </c>
      <c r="E178">
        <v>3.6734693877551017E-2</v>
      </c>
    </row>
    <row r="179" spans="1:5">
      <c r="A179" t="s">
        <v>182</v>
      </c>
      <c r="C179">
        <v>7.9155672823219003E-3</v>
      </c>
      <c r="D179">
        <v>-1.477832512315271E-2</v>
      </c>
      <c r="E179">
        <v>-7.874015748031496E-3</v>
      </c>
    </row>
    <row r="180" spans="1:5">
      <c r="A180" t="s">
        <v>183</v>
      </c>
      <c r="C180">
        <v>-1.832460732984293E-2</v>
      </c>
      <c r="D180">
        <v>-4.2999999999999997E-2</v>
      </c>
      <c r="E180">
        <v>-6.7460317460317457E-2</v>
      </c>
    </row>
    <row r="181" spans="1:5">
      <c r="A181" t="s">
        <v>184</v>
      </c>
      <c r="C181">
        <v>-2.666666666666667E-3</v>
      </c>
      <c r="D181">
        <v>1.5673981191222569E-2</v>
      </c>
      <c r="E181">
        <v>2.9787234042553189E-2</v>
      </c>
    </row>
    <row r="182" spans="1:5">
      <c r="A182" t="s">
        <v>185</v>
      </c>
      <c r="C182">
        <v>3.7433155080213901E-2</v>
      </c>
      <c r="D182">
        <v>5.1440329218106996E-3</v>
      </c>
      <c r="E182">
        <v>1.6528925619834711E-2</v>
      </c>
    </row>
    <row r="183" spans="1:5">
      <c r="A183" t="s">
        <v>186</v>
      </c>
      <c r="C183">
        <v>1.804123711340206E-2</v>
      </c>
      <c r="D183">
        <v>2.8659160696008192E-2</v>
      </c>
      <c r="E183">
        <v>1.6260162601626021E-2</v>
      </c>
    </row>
    <row r="184" spans="1:5">
      <c r="A184" t="s">
        <v>187</v>
      </c>
      <c r="C184">
        <v>-1.7721518987341769E-2</v>
      </c>
      <c r="D184">
        <v>4.9751243781094526E-3</v>
      </c>
      <c r="E184">
        <v>-0.02</v>
      </c>
    </row>
    <row r="185" spans="1:5">
      <c r="A185" t="s">
        <v>188</v>
      </c>
      <c r="C185">
        <v>2.5773195876288658E-2</v>
      </c>
      <c r="D185">
        <v>9.9009900990099011E-3</v>
      </c>
      <c r="E185">
        <v>1.6326530612244899E-2</v>
      </c>
    </row>
    <row r="186" spans="1:5">
      <c r="A186" t="s">
        <v>189</v>
      </c>
      <c r="C186">
        <v>5.0251256281407036E-3</v>
      </c>
      <c r="D186">
        <v>2.4509803921568631E-2</v>
      </c>
      <c r="E186">
        <v>4.4176706827309238E-2</v>
      </c>
    </row>
    <row r="187" spans="1:5">
      <c r="A187" t="s">
        <v>190</v>
      </c>
      <c r="C187">
        <v>-5.0000000000000001E-3</v>
      </c>
      <c r="D187">
        <v>0</v>
      </c>
      <c r="E187">
        <v>-7.6923076923076927E-3</v>
      </c>
    </row>
    <row r="188" spans="1:5">
      <c r="A188" t="s">
        <v>191</v>
      </c>
      <c r="C188">
        <v>4.0201005025125629E-2</v>
      </c>
      <c r="D188">
        <v>2.3923444976076551E-2</v>
      </c>
      <c r="E188">
        <v>7.7519379844961239E-3</v>
      </c>
    </row>
    <row r="189" spans="1:5">
      <c r="A189" t="s">
        <v>192</v>
      </c>
      <c r="C189">
        <v>-9.6618357487922701E-3</v>
      </c>
      <c r="D189">
        <v>-2.336448598130841E-2</v>
      </c>
      <c r="E189">
        <v>-1.9230769230769228E-2</v>
      </c>
    </row>
    <row r="190" spans="1:5">
      <c r="A190" t="s">
        <v>193</v>
      </c>
      <c r="C190">
        <v>1.7073170731707318E-2</v>
      </c>
      <c r="D190">
        <v>-9.5693779904306216E-3</v>
      </c>
      <c r="E190">
        <v>0</v>
      </c>
    </row>
    <row r="191" spans="1:5">
      <c r="A191" t="s">
        <v>194</v>
      </c>
      <c r="C191">
        <v>-4.7961630695443642E-3</v>
      </c>
      <c r="D191">
        <v>4.8309178743961352E-2</v>
      </c>
      <c r="E191">
        <v>2.3529411764705879E-2</v>
      </c>
    </row>
    <row r="192" spans="1:5">
      <c r="A192" t="s">
        <v>195</v>
      </c>
      <c r="C192">
        <v>1.204819277108434E-2</v>
      </c>
      <c r="D192">
        <v>0</v>
      </c>
      <c r="E192">
        <v>1.9157088122605359E-2</v>
      </c>
    </row>
    <row r="193" spans="1:5">
      <c r="A193" t="s">
        <v>196</v>
      </c>
      <c r="C193">
        <v>2.6190476190476191E-2</v>
      </c>
      <c r="D193">
        <v>-9.2165898617511521E-3</v>
      </c>
      <c r="E193">
        <v>-1.503759398496241E-2</v>
      </c>
    </row>
    <row r="194" spans="1:5">
      <c r="A194" t="s">
        <v>197</v>
      </c>
      <c r="C194">
        <v>2.3201856148491878E-3</v>
      </c>
      <c r="D194">
        <v>-1.395348837209302E-2</v>
      </c>
      <c r="E194">
        <v>-7.6335877862595417E-3</v>
      </c>
    </row>
    <row r="195" spans="1:5">
      <c r="A195" t="s">
        <v>198</v>
      </c>
      <c r="C195">
        <v>-2.0833333333333329E-2</v>
      </c>
      <c r="D195">
        <v>0</v>
      </c>
      <c r="E195">
        <v>-2.3076923076923082E-2</v>
      </c>
    </row>
    <row r="196" spans="1:5">
      <c r="A196" t="s">
        <v>199</v>
      </c>
      <c r="C196">
        <v>2.1276595744680851E-2</v>
      </c>
      <c r="D196">
        <v>4.7169811320754724E-3</v>
      </c>
      <c r="E196">
        <v>3.5433070866141732E-2</v>
      </c>
    </row>
    <row r="197" spans="1:5">
      <c r="A197" t="s">
        <v>200</v>
      </c>
      <c r="C197">
        <v>-4.6296296296296294E-3</v>
      </c>
      <c r="D197">
        <v>-1.408450704225352E-2</v>
      </c>
      <c r="E197">
        <v>1.5209125475285169E-2</v>
      </c>
    </row>
    <row r="198" spans="1:5">
      <c r="A198" t="s">
        <v>201</v>
      </c>
      <c r="C198">
        <v>-2.5581395348837209E-2</v>
      </c>
      <c r="D198">
        <v>-9.5238095238095247E-3</v>
      </c>
      <c r="E198">
        <v>-2.6217228464419481E-2</v>
      </c>
    </row>
    <row r="199" spans="1:5">
      <c r="A199" t="s">
        <v>202</v>
      </c>
      <c r="C199">
        <v>9.5465393794749408E-3</v>
      </c>
      <c r="D199">
        <v>-9.6153846153846159E-3</v>
      </c>
      <c r="E199">
        <v>-7.6923076923076927E-3</v>
      </c>
    </row>
    <row r="200" spans="1:5">
      <c r="A200" t="s">
        <v>203</v>
      </c>
      <c r="C200">
        <v>-1.6548463356973991E-2</v>
      </c>
      <c r="D200">
        <v>-4.8543689320388354E-3</v>
      </c>
      <c r="E200">
        <v>0</v>
      </c>
    </row>
    <row r="201" spans="1:5">
      <c r="A201" t="s">
        <v>204</v>
      </c>
      <c r="C201">
        <v>2.8846153846153851E-2</v>
      </c>
      <c r="D201">
        <v>1.4634146341463421E-2</v>
      </c>
      <c r="E201">
        <v>3.875968992248062E-3</v>
      </c>
    </row>
    <row r="202" spans="1:5">
      <c r="A202" t="s">
        <v>205</v>
      </c>
      <c r="C202">
        <v>0</v>
      </c>
      <c r="D202">
        <v>9.6153846153846159E-3</v>
      </c>
      <c r="E202">
        <v>-3.8610038610038611E-3</v>
      </c>
    </row>
    <row r="203" spans="1:5">
      <c r="A203" t="s">
        <v>206</v>
      </c>
      <c r="C203">
        <v>-2.3364485981308409E-3</v>
      </c>
      <c r="D203">
        <v>9.5238095238095247E-3</v>
      </c>
      <c r="E203">
        <v>1.1627906976744189E-2</v>
      </c>
    </row>
    <row r="204" spans="1:5">
      <c r="A204" t="s">
        <v>207</v>
      </c>
      <c r="C204">
        <v>1.6393442622950821E-2</v>
      </c>
      <c r="D204">
        <v>4.7169811320754724E-3</v>
      </c>
      <c r="E204">
        <v>0</v>
      </c>
    </row>
    <row r="205" spans="1:5">
      <c r="A205" t="s">
        <v>208</v>
      </c>
      <c r="C205">
        <v>4.608294930875576E-3</v>
      </c>
      <c r="D205">
        <v>2.3474178403755871E-2</v>
      </c>
      <c r="E205">
        <v>-1.9157088122605359E-2</v>
      </c>
    </row>
    <row r="206" spans="1:5">
      <c r="A206" t="s">
        <v>209</v>
      </c>
      <c r="C206">
        <v>9.1743119266055051E-3</v>
      </c>
      <c r="D206">
        <v>-4.5871559633027534E-3</v>
      </c>
      <c r="E206">
        <v>1.171875E-2</v>
      </c>
    </row>
    <row r="207" spans="1:5">
      <c r="A207" t="s">
        <v>210</v>
      </c>
      <c r="C207">
        <v>-2.7272727272727271E-2</v>
      </c>
      <c r="D207">
        <v>-3.2258064516129031E-2</v>
      </c>
      <c r="E207">
        <v>-2.3166023166023161E-2</v>
      </c>
    </row>
    <row r="208" spans="1:5">
      <c r="A208" t="s">
        <v>211</v>
      </c>
      <c r="C208">
        <v>2.3364485981308409E-3</v>
      </c>
      <c r="D208">
        <v>-1.428571428571429E-2</v>
      </c>
      <c r="E208">
        <v>-7.9051383399209481E-3</v>
      </c>
    </row>
    <row r="209" spans="1:5">
      <c r="A209" t="s">
        <v>212</v>
      </c>
      <c r="C209">
        <v>-1.3986013986013989E-2</v>
      </c>
      <c r="D209">
        <v>0</v>
      </c>
      <c r="E209">
        <v>-1.5936254980079681E-2</v>
      </c>
    </row>
    <row r="210" spans="1:5">
      <c r="A210" t="s">
        <v>213</v>
      </c>
      <c r="C210">
        <v>-2.1276595744680851E-2</v>
      </c>
      <c r="D210">
        <v>0</v>
      </c>
      <c r="E210">
        <v>2.8340080971659919E-2</v>
      </c>
    </row>
    <row r="211" spans="1:5">
      <c r="A211" t="s">
        <v>214</v>
      </c>
      <c r="C211">
        <v>-2.1739130434782612E-2</v>
      </c>
      <c r="D211">
        <v>-9.6618357487922701E-3</v>
      </c>
      <c r="E211">
        <v>-2.3622047244094491E-2</v>
      </c>
    </row>
    <row r="212" spans="1:5">
      <c r="A212" t="s">
        <v>215</v>
      </c>
      <c r="C212">
        <v>4.9382716049382724E-3</v>
      </c>
      <c r="D212">
        <v>1.4634146341463421E-2</v>
      </c>
      <c r="E212">
        <v>3.6290322580645157E-2</v>
      </c>
    </row>
    <row r="213" spans="1:5">
      <c r="A213" t="s">
        <v>216</v>
      </c>
      <c r="C213">
        <v>1.2285012285012281E-2</v>
      </c>
      <c r="D213">
        <v>-1.442307692307692E-2</v>
      </c>
      <c r="E213">
        <v>-7.7821011673151752E-3</v>
      </c>
    </row>
    <row r="214" spans="1:5">
      <c r="A214" t="s">
        <v>217</v>
      </c>
      <c r="C214">
        <v>-1.6990291262135922E-2</v>
      </c>
      <c r="D214">
        <v>-1.4634146341463421E-2</v>
      </c>
      <c r="E214">
        <v>-7.8431372549019607E-3</v>
      </c>
    </row>
    <row r="215" spans="1:5">
      <c r="A215" t="s">
        <v>218</v>
      </c>
      <c r="C215">
        <v>2.4691358024691362E-3</v>
      </c>
      <c r="D215">
        <v>2.9702970297029702E-2</v>
      </c>
      <c r="E215">
        <v>3.5573122529644272E-2</v>
      </c>
    </row>
    <row r="216" spans="1:5">
      <c r="A216" t="s">
        <v>219</v>
      </c>
      <c r="C216">
        <v>3.6945812807881777E-2</v>
      </c>
      <c r="D216">
        <v>-9.6153846153846159E-3</v>
      </c>
      <c r="E216">
        <v>-2.2900763358778629E-2</v>
      </c>
    </row>
    <row r="217" spans="1:5">
      <c r="A217" t="s">
        <v>220</v>
      </c>
      <c r="C217">
        <v>-3.800475059382423E-2</v>
      </c>
      <c r="D217">
        <v>-1.9417475728155342E-2</v>
      </c>
      <c r="E217">
        <v>0</v>
      </c>
    </row>
    <row r="218" spans="1:5">
      <c r="A218" t="s">
        <v>221</v>
      </c>
      <c r="C218">
        <v>-2.9629629629629631E-2</v>
      </c>
      <c r="D218">
        <v>-9.9009900990099011E-3</v>
      </c>
      <c r="E218">
        <v>-2.34375E-2</v>
      </c>
    </row>
    <row r="219" spans="1:5">
      <c r="A219" t="s">
        <v>222</v>
      </c>
      <c r="C219">
        <v>-5.0890585241730284E-3</v>
      </c>
      <c r="D219">
        <v>5.0000000000000001E-3</v>
      </c>
      <c r="E219">
        <v>4.0000000000000001E-3</v>
      </c>
    </row>
    <row r="220" spans="1:5">
      <c r="A220" t="s">
        <v>223</v>
      </c>
      <c r="C220">
        <v>0</v>
      </c>
      <c r="D220">
        <v>-8.9552238805970154E-3</v>
      </c>
      <c r="E220">
        <v>0</v>
      </c>
    </row>
    <row r="221" spans="1:5">
      <c r="A221" t="s">
        <v>224</v>
      </c>
      <c r="C221">
        <v>2.5575447570332479E-3</v>
      </c>
      <c r="D221">
        <v>3.9156626506024098E-2</v>
      </c>
      <c r="E221">
        <v>4.3824701195219133E-2</v>
      </c>
    </row>
    <row r="222" spans="1:5">
      <c r="A222" t="s">
        <v>225</v>
      </c>
      <c r="C222">
        <v>2.5510204081632651E-3</v>
      </c>
      <c r="D222">
        <v>1.932367149758454E-2</v>
      </c>
      <c r="E222">
        <v>3.8167938931297708E-3</v>
      </c>
    </row>
    <row r="223" spans="1:5">
      <c r="A223" t="s">
        <v>226</v>
      </c>
      <c r="C223">
        <v>2.2900763358778629E-2</v>
      </c>
      <c r="D223">
        <v>1.421800947867299E-2</v>
      </c>
      <c r="E223">
        <v>3.8022813688212932E-3</v>
      </c>
    </row>
    <row r="224" spans="1:5">
      <c r="A224" t="s">
        <v>227</v>
      </c>
      <c r="C224">
        <v>-9.9502487562189053E-3</v>
      </c>
      <c r="D224">
        <v>4.6728971962616819E-3</v>
      </c>
      <c r="E224">
        <v>3.787878787878788E-3</v>
      </c>
    </row>
    <row r="225" spans="1:5">
      <c r="A225" t="s">
        <v>228</v>
      </c>
      <c r="C225">
        <v>-5.0251256281407036E-3</v>
      </c>
      <c r="D225">
        <v>-9.3023255813953487E-3</v>
      </c>
      <c r="E225">
        <v>-1.509433962264151E-2</v>
      </c>
    </row>
    <row r="226" spans="1:5">
      <c r="A226" t="s">
        <v>229</v>
      </c>
      <c r="C226">
        <v>-1.515151515151515E-2</v>
      </c>
      <c r="D226">
        <v>9.3896713615023476E-3</v>
      </c>
      <c r="E226">
        <v>1.532567049808429E-2</v>
      </c>
    </row>
    <row r="227" spans="1:5">
      <c r="A227" t="s">
        <v>230</v>
      </c>
      <c r="C227">
        <v>-1.5384615384615391E-2</v>
      </c>
      <c r="D227">
        <v>-9.3023255813953487E-3</v>
      </c>
      <c r="E227">
        <v>1.886792452830189E-2</v>
      </c>
    </row>
    <row r="228" spans="1:5">
      <c r="A228" t="s">
        <v>231</v>
      </c>
      <c r="C228">
        <v>-1.5625E-2</v>
      </c>
      <c r="D228">
        <v>-1.8779342723004699E-2</v>
      </c>
      <c r="E228">
        <v>0</v>
      </c>
    </row>
    <row r="229" spans="1:5">
      <c r="A229" t="s">
        <v>232</v>
      </c>
      <c r="C229">
        <v>-2.6455026455026449E-3</v>
      </c>
      <c r="D229">
        <v>1.435406698564593E-2</v>
      </c>
      <c r="E229">
        <v>2.222222222222222E-2</v>
      </c>
    </row>
    <row r="230" spans="1:5">
      <c r="A230" t="s">
        <v>233</v>
      </c>
      <c r="C230">
        <v>-1.061007957559682E-2</v>
      </c>
      <c r="D230">
        <v>4.7169811320754724E-3</v>
      </c>
      <c r="E230">
        <v>2.1739130434782612E-2</v>
      </c>
    </row>
    <row r="231" spans="1:5">
      <c r="A231" t="s">
        <v>234</v>
      </c>
      <c r="C231">
        <v>-2.412868632707775E-2</v>
      </c>
      <c r="D231">
        <v>1.8779342723004699E-2</v>
      </c>
      <c r="E231">
        <v>-1.7730496453900711E-2</v>
      </c>
    </row>
    <row r="232" spans="1:5">
      <c r="A232" t="s">
        <v>235</v>
      </c>
      <c r="C232">
        <v>5.4945054945054949E-3</v>
      </c>
      <c r="D232">
        <v>-9.2165898617511521E-3</v>
      </c>
      <c r="E232">
        <v>2.8880866425992781E-2</v>
      </c>
    </row>
    <row r="233" spans="1:5">
      <c r="A233" t="s">
        <v>236</v>
      </c>
      <c r="C233">
        <v>8.1967213114754103E-3</v>
      </c>
      <c r="D233">
        <v>9.3023255813953487E-3</v>
      </c>
      <c r="E233">
        <v>-3.508771929824561E-3</v>
      </c>
    </row>
    <row r="234" spans="1:5">
      <c r="A234" t="s">
        <v>237</v>
      </c>
      <c r="C234">
        <v>-1.8970189701897022E-2</v>
      </c>
      <c r="D234">
        <v>-1.3824884792626731E-2</v>
      </c>
      <c r="E234">
        <v>0</v>
      </c>
    </row>
    <row r="235" spans="1:5">
      <c r="A235" t="s">
        <v>238</v>
      </c>
      <c r="C235">
        <v>0</v>
      </c>
      <c r="D235">
        <v>-3.2710280373831772E-2</v>
      </c>
      <c r="E235">
        <v>-2.1126760563380281E-2</v>
      </c>
    </row>
    <row r="236" spans="1:5">
      <c r="A236" t="s">
        <v>239</v>
      </c>
      <c r="C236">
        <v>2.486187845303867E-2</v>
      </c>
      <c r="D236">
        <v>4.3478260869565223E-2</v>
      </c>
      <c r="E236">
        <v>1.4388489208633091E-2</v>
      </c>
    </row>
    <row r="237" spans="1:5">
      <c r="A237" t="s">
        <v>240</v>
      </c>
      <c r="C237">
        <v>0</v>
      </c>
      <c r="D237">
        <v>0</v>
      </c>
      <c r="E237">
        <v>-3.5460992907801422E-3</v>
      </c>
    </row>
    <row r="238" spans="1:5">
      <c r="A238" t="s">
        <v>241</v>
      </c>
      <c r="C238">
        <v>5.3908355795148251E-3</v>
      </c>
      <c r="D238">
        <v>4.6296296296296294E-3</v>
      </c>
      <c r="E238">
        <v>3.5587188612099638E-3</v>
      </c>
    </row>
    <row r="239" spans="1:5">
      <c r="A239" t="s">
        <v>242</v>
      </c>
      <c r="C239">
        <v>5.3619302949061663E-3</v>
      </c>
      <c r="D239">
        <v>0</v>
      </c>
      <c r="E239">
        <v>7.0921985815602844E-3</v>
      </c>
    </row>
    <row r="240" spans="1:5">
      <c r="A240" t="s">
        <v>243</v>
      </c>
      <c r="C240">
        <v>-5.3333333333333332E-3</v>
      </c>
      <c r="D240">
        <v>4.608294930875576E-3</v>
      </c>
      <c r="E240">
        <v>7.0422535211267607E-3</v>
      </c>
    </row>
    <row r="241" spans="1:5">
      <c r="A241" t="s">
        <v>244</v>
      </c>
      <c r="C241">
        <v>-8.0428954423592495E-3</v>
      </c>
      <c r="D241">
        <v>0</v>
      </c>
      <c r="E241">
        <v>-6.993006993006993E-3</v>
      </c>
    </row>
    <row r="242" spans="1:5">
      <c r="A242" t="s">
        <v>245</v>
      </c>
      <c r="C242">
        <v>-5.4054054054054057E-3</v>
      </c>
      <c r="D242">
        <v>-1.3761467889908259E-2</v>
      </c>
      <c r="E242">
        <v>-3.5211267605633799E-3</v>
      </c>
    </row>
    <row r="243" spans="1:5">
      <c r="A243" t="s">
        <v>246</v>
      </c>
      <c r="C243">
        <v>-8.152173913043478E-3</v>
      </c>
      <c r="D243">
        <v>-9.3023255813953487E-3</v>
      </c>
      <c r="E243">
        <v>-4.5936395759717308E-2</v>
      </c>
    </row>
    <row r="244" spans="1:5">
      <c r="A244" t="s">
        <v>247</v>
      </c>
      <c r="C244">
        <v>-8.21917808219178E-3</v>
      </c>
      <c r="D244">
        <v>9.3896713615023476E-3</v>
      </c>
      <c r="E244">
        <v>1.111111111111111E-2</v>
      </c>
    </row>
    <row r="245" spans="1:5">
      <c r="A245" t="s">
        <v>248</v>
      </c>
      <c r="C245">
        <v>1.9337016574585631E-2</v>
      </c>
      <c r="D245">
        <v>4.6511627906976737E-2</v>
      </c>
      <c r="E245">
        <v>4.3956043956043959E-2</v>
      </c>
    </row>
    <row r="246" spans="1:5">
      <c r="A246" t="s">
        <v>249</v>
      </c>
      <c r="C246">
        <v>2.9810298102981029E-2</v>
      </c>
      <c r="D246">
        <v>4.4444444444444436E-3</v>
      </c>
      <c r="E246">
        <v>4.5614035087719301E-2</v>
      </c>
    </row>
    <row r="247" spans="1:5">
      <c r="A247" t="s">
        <v>250</v>
      </c>
      <c r="C247">
        <v>-1.0526315789473681E-2</v>
      </c>
      <c r="D247">
        <v>-2.2123893805309731E-2</v>
      </c>
      <c r="E247">
        <v>-1.342281879194631E-2</v>
      </c>
    </row>
    <row r="248" spans="1:5">
      <c r="A248" t="s">
        <v>251</v>
      </c>
      <c r="C248">
        <v>-2.6595744680851061E-2</v>
      </c>
      <c r="D248">
        <v>-4.5248868778280547E-3</v>
      </c>
      <c r="E248">
        <v>-2.0408163265306121E-2</v>
      </c>
    </row>
    <row r="249" spans="1:5">
      <c r="A249" t="s">
        <v>252</v>
      </c>
      <c r="C249">
        <v>-8.1967213114754103E-3</v>
      </c>
      <c r="D249">
        <v>0</v>
      </c>
      <c r="E249">
        <v>1.7361111111111108E-2</v>
      </c>
    </row>
    <row r="250" spans="1:5">
      <c r="A250" t="s">
        <v>253</v>
      </c>
      <c r="C250">
        <v>-5.5096418732782371E-2</v>
      </c>
      <c r="D250">
        <v>-2.2727272727272731E-2</v>
      </c>
      <c r="E250">
        <v>-5.1194539249146763E-2</v>
      </c>
    </row>
    <row r="251" spans="1:5">
      <c r="A251" t="s">
        <v>254</v>
      </c>
      <c r="C251">
        <v>1.7492711370262391E-2</v>
      </c>
      <c r="D251">
        <v>1.395348837209302E-2</v>
      </c>
      <c r="E251">
        <v>7.1942446043165471E-3</v>
      </c>
    </row>
    <row r="252" spans="1:5">
      <c r="A252" t="s">
        <v>255</v>
      </c>
      <c r="C252">
        <v>-2.0057306590257881E-2</v>
      </c>
      <c r="D252">
        <v>-2.2935779816513759E-2</v>
      </c>
      <c r="E252">
        <v>1.428571428571429E-2</v>
      </c>
    </row>
    <row r="253" spans="1:5">
      <c r="A253" t="s">
        <v>256</v>
      </c>
      <c r="C253">
        <v>1.461988304093567E-2</v>
      </c>
      <c r="D253">
        <v>3.7558685446009391E-2</v>
      </c>
      <c r="E253">
        <v>2.8169014084507039E-2</v>
      </c>
    </row>
    <row r="254" spans="1:5">
      <c r="A254" t="s">
        <v>257</v>
      </c>
      <c r="C254">
        <v>0</v>
      </c>
      <c r="D254">
        <v>1.357466063348416E-2</v>
      </c>
      <c r="E254">
        <v>-2.0547945205479451E-2</v>
      </c>
    </row>
    <row r="255" spans="1:5">
      <c r="A255" t="s">
        <v>258</v>
      </c>
      <c r="C255">
        <v>2.5936599423631121E-2</v>
      </c>
      <c r="D255">
        <v>0</v>
      </c>
      <c r="E255">
        <v>1.048951048951049E-2</v>
      </c>
    </row>
    <row r="256" spans="1:5">
      <c r="A256" t="s">
        <v>259</v>
      </c>
      <c r="C256">
        <v>2.8089887640449442E-3</v>
      </c>
      <c r="D256">
        <v>0</v>
      </c>
      <c r="E256">
        <v>1.384083044982699E-2</v>
      </c>
    </row>
    <row r="257" spans="1:5">
      <c r="A257" t="s">
        <v>260</v>
      </c>
      <c r="C257">
        <v>8.4033613445378148E-3</v>
      </c>
      <c r="D257">
        <v>1.339285714285714E-2</v>
      </c>
      <c r="E257">
        <v>0</v>
      </c>
    </row>
    <row r="258" spans="1:5">
      <c r="A258" t="s">
        <v>261</v>
      </c>
      <c r="C258">
        <v>-8.0555555555555561E-2</v>
      </c>
      <c r="D258">
        <v>-5.7268722466960353E-2</v>
      </c>
      <c r="E258">
        <v>2.3890784982935159E-2</v>
      </c>
    </row>
    <row r="259" spans="1:5">
      <c r="A259" t="s">
        <v>262</v>
      </c>
      <c r="C259">
        <v>-3.021148036253776E-3</v>
      </c>
      <c r="D259">
        <v>2.336448598130841E-2</v>
      </c>
      <c r="E259">
        <v>-6.6666666666666671E-3</v>
      </c>
    </row>
    <row r="260" spans="1:5">
      <c r="A260" t="s">
        <v>263</v>
      </c>
      <c r="C260">
        <v>3.6363636363636362E-2</v>
      </c>
      <c r="D260">
        <v>1.3698630136986301E-2</v>
      </c>
      <c r="E260">
        <v>2.3489932885906041E-2</v>
      </c>
    </row>
    <row r="261" spans="1:5">
      <c r="A261" t="s">
        <v>264</v>
      </c>
      <c r="C261">
        <v>1.1695906432748541E-2</v>
      </c>
      <c r="D261">
        <v>4.5045045045045036E-3</v>
      </c>
      <c r="E261">
        <v>0</v>
      </c>
    </row>
    <row r="262" spans="1:5">
      <c r="A262" t="s">
        <v>265</v>
      </c>
      <c r="C262">
        <v>2.8901734104046239E-2</v>
      </c>
      <c r="D262">
        <v>8.9686098654708519E-3</v>
      </c>
      <c r="E262">
        <v>0</v>
      </c>
    </row>
    <row r="263" spans="1:5">
      <c r="A263" t="s">
        <v>266</v>
      </c>
      <c r="C263">
        <v>-2.247191011235955E-2</v>
      </c>
      <c r="D263">
        <v>-1.7777777777777781E-2</v>
      </c>
      <c r="E263">
        <v>-2.950819672131148E-2</v>
      </c>
    </row>
    <row r="264" spans="1:5">
      <c r="A264" t="s">
        <v>267</v>
      </c>
      <c r="C264">
        <v>2.8735632183908049E-2</v>
      </c>
      <c r="D264">
        <v>4.5248868778280547E-3</v>
      </c>
      <c r="E264">
        <v>2.0270270270270271E-2</v>
      </c>
    </row>
    <row r="265" spans="1:5">
      <c r="A265" t="s">
        <v>268</v>
      </c>
      <c r="C265">
        <v>-1.11731843575419E-2</v>
      </c>
      <c r="D265">
        <v>-9.0090090090090089E-3</v>
      </c>
      <c r="E265">
        <v>-1.6556291390728482E-2</v>
      </c>
    </row>
    <row r="266" spans="1:5">
      <c r="A266" t="s">
        <v>269</v>
      </c>
      <c r="C266">
        <v>1.6949152542372881E-2</v>
      </c>
      <c r="D266">
        <v>-9.0909090909090905E-3</v>
      </c>
      <c r="E266">
        <v>2.3569023569023569E-2</v>
      </c>
    </row>
    <row r="267" spans="1:5">
      <c r="A267" t="s">
        <v>270</v>
      </c>
      <c r="C267">
        <v>-1.111111111111111E-2</v>
      </c>
      <c r="D267">
        <v>-2.7522935779816519E-2</v>
      </c>
      <c r="E267">
        <v>-9.8684210526315784E-3</v>
      </c>
    </row>
    <row r="268" spans="1:5">
      <c r="A268" t="s">
        <v>271</v>
      </c>
      <c r="C268">
        <v>2.528089887640449E-2</v>
      </c>
      <c r="D268">
        <v>2.358490566037736E-2</v>
      </c>
      <c r="E268">
        <v>2.6578073089701001E-2</v>
      </c>
    </row>
    <row r="269" spans="1:5">
      <c r="A269" t="s">
        <v>272</v>
      </c>
      <c r="C269">
        <v>5.4794520547945206E-3</v>
      </c>
      <c r="D269">
        <v>1.3824884792626731E-2</v>
      </c>
      <c r="E269">
        <v>-6.4724919093851136E-3</v>
      </c>
    </row>
    <row r="270" spans="1:5">
      <c r="A270" t="s">
        <v>273</v>
      </c>
      <c r="C270">
        <v>-2.7247956403269749E-3</v>
      </c>
      <c r="D270">
        <v>-9.0909090909090905E-3</v>
      </c>
      <c r="E270">
        <v>3.2573289902280132E-3</v>
      </c>
    </row>
    <row r="271" spans="1:5">
      <c r="A271" t="s">
        <v>274</v>
      </c>
      <c r="C271">
        <v>-5.4644808743169399E-3</v>
      </c>
      <c r="D271">
        <v>-9.1743119266055051E-3</v>
      </c>
      <c r="E271">
        <v>-2.5974025974025979E-2</v>
      </c>
    </row>
    <row r="272" spans="1:5">
      <c r="A272" t="s">
        <v>275</v>
      </c>
      <c r="C272">
        <v>5.4945054945054949E-3</v>
      </c>
      <c r="D272">
        <v>1.388888888888889E-2</v>
      </c>
      <c r="E272">
        <v>6.6666666666666671E-3</v>
      </c>
    </row>
    <row r="273" spans="1:5">
      <c r="A273" t="s">
        <v>276</v>
      </c>
      <c r="C273">
        <v>5.4644808743169399E-3</v>
      </c>
      <c r="D273">
        <v>-1.8264840182648401E-2</v>
      </c>
      <c r="E273">
        <v>2.3178807947019871E-2</v>
      </c>
    </row>
    <row r="274" spans="1:5">
      <c r="A274" t="s">
        <v>277</v>
      </c>
      <c r="C274">
        <v>-3.5326086956521743E-2</v>
      </c>
      <c r="D274">
        <v>-1.8604651162790701E-2</v>
      </c>
      <c r="E274">
        <v>3.2362459546925568E-3</v>
      </c>
    </row>
    <row r="275" spans="1:5">
      <c r="A275" t="s">
        <v>278</v>
      </c>
      <c r="C275">
        <v>1.690140845070422E-2</v>
      </c>
      <c r="D275">
        <v>4.7393364928909956E-3</v>
      </c>
      <c r="E275">
        <v>6.4516129032258056E-3</v>
      </c>
    </row>
    <row r="276" spans="1:5">
      <c r="A276" t="s">
        <v>279</v>
      </c>
      <c r="C276">
        <v>-3.6011080332409982E-2</v>
      </c>
      <c r="D276">
        <v>-1.886792452830189E-2</v>
      </c>
      <c r="E276">
        <v>-2.8846153846153851E-2</v>
      </c>
    </row>
    <row r="277" spans="1:5">
      <c r="A277" t="s">
        <v>280</v>
      </c>
      <c r="C277">
        <v>-2.298850574712644E-2</v>
      </c>
      <c r="D277">
        <v>-1.9230769230769228E-2</v>
      </c>
      <c r="E277">
        <v>-2.9702970297029702E-2</v>
      </c>
    </row>
    <row r="278" spans="1:5">
      <c r="A278" t="s">
        <v>281</v>
      </c>
      <c r="C278">
        <v>2.9411764705882348E-3</v>
      </c>
      <c r="D278">
        <v>-1.9607843137254902E-2</v>
      </c>
      <c r="E278">
        <v>2.3809523809523812E-2</v>
      </c>
    </row>
    <row r="279" spans="1:5">
      <c r="A279" t="s">
        <v>282</v>
      </c>
      <c r="C279">
        <v>1.7595307917888561E-2</v>
      </c>
      <c r="D279">
        <v>0.02</v>
      </c>
      <c r="E279">
        <v>0</v>
      </c>
    </row>
    <row r="280" spans="1:5">
      <c r="A280" t="s">
        <v>283</v>
      </c>
      <c r="C280">
        <v>0</v>
      </c>
      <c r="D280">
        <v>-1.470588235294118E-2</v>
      </c>
      <c r="E280">
        <v>-6.6445182724252493E-3</v>
      </c>
    </row>
    <row r="281" spans="1:5">
      <c r="A281" t="s">
        <v>284</v>
      </c>
      <c r="C281">
        <v>-8.6455331412103754E-3</v>
      </c>
      <c r="D281">
        <v>0</v>
      </c>
      <c r="E281">
        <v>-2.006688963210702E-2</v>
      </c>
    </row>
    <row r="282" spans="1:5">
      <c r="A282" t="s">
        <v>285</v>
      </c>
      <c r="C282">
        <v>0</v>
      </c>
      <c r="D282">
        <v>-6.965174129353234E-3</v>
      </c>
      <c r="E282">
        <v>-4.778156996587031E-2</v>
      </c>
    </row>
    <row r="283" spans="1:5">
      <c r="A283" t="s">
        <v>286</v>
      </c>
      <c r="C283">
        <v>-2.0348837209302331E-2</v>
      </c>
      <c r="D283">
        <v>-2.7054108216432868E-2</v>
      </c>
      <c r="E283">
        <v>-7.1684587813620072E-3</v>
      </c>
    </row>
    <row r="284" spans="1:5">
      <c r="A284" t="s">
        <v>287</v>
      </c>
      <c r="C284">
        <v>1.1869436201780419E-2</v>
      </c>
      <c r="D284">
        <v>1.7507723995880541E-2</v>
      </c>
      <c r="E284">
        <v>1.8050541516245491E-2</v>
      </c>
    </row>
    <row r="285" spans="1:5">
      <c r="A285" t="s">
        <v>288</v>
      </c>
      <c r="C285">
        <v>-1.466275659824047E-2</v>
      </c>
      <c r="D285">
        <v>-2.3279352226720649E-2</v>
      </c>
      <c r="E285">
        <v>-1.4184397163120571E-2</v>
      </c>
    </row>
    <row r="286" spans="1:5">
      <c r="A286" t="s">
        <v>289</v>
      </c>
      <c r="C286">
        <v>1.1904761904761901E-2</v>
      </c>
      <c r="D286">
        <v>-6.2176165803108814E-3</v>
      </c>
      <c r="E286">
        <v>7.1942446043165471E-3</v>
      </c>
    </row>
    <row r="287" spans="1:5">
      <c r="A287" t="s">
        <v>290</v>
      </c>
      <c r="C287">
        <v>-1.1764705882352939E-2</v>
      </c>
      <c r="D287">
        <v>1.147028154327424E-2</v>
      </c>
      <c r="E287">
        <v>1.785714285714286E-2</v>
      </c>
    </row>
    <row r="288" spans="1:5">
      <c r="A288" t="s">
        <v>291</v>
      </c>
      <c r="C288">
        <v>-2.976190476190476E-3</v>
      </c>
      <c r="D288">
        <v>1.030927835051546E-3</v>
      </c>
      <c r="E288">
        <v>3.5087719298245612E-2</v>
      </c>
    </row>
    <row r="289" spans="1:5">
      <c r="A289" t="s">
        <v>292</v>
      </c>
      <c r="C289">
        <v>-2.0895522388059699E-2</v>
      </c>
      <c r="D289">
        <v>-1.9567456230690009E-2</v>
      </c>
      <c r="E289">
        <v>-6.7796610169491523E-3</v>
      </c>
    </row>
    <row r="290" spans="1:5">
      <c r="A290" t="s">
        <v>293</v>
      </c>
      <c r="C290">
        <v>1.2195121951219509E-2</v>
      </c>
      <c r="D290">
        <v>3.4663865546218489E-2</v>
      </c>
      <c r="E290">
        <v>1.36518771331058E-2</v>
      </c>
    </row>
    <row r="291" spans="1:5">
      <c r="A291" t="s">
        <v>294</v>
      </c>
      <c r="C291">
        <v>-6.024096385542169E-3</v>
      </c>
      <c r="D291">
        <v>-1.319796954314721E-2</v>
      </c>
      <c r="E291">
        <v>-3.3670033670033669E-3</v>
      </c>
    </row>
    <row r="292" spans="1:5">
      <c r="A292" t="s">
        <v>295</v>
      </c>
      <c r="C292">
        <v>-1.2121212121212119E-2</v>
      </c>
      <c r="D292">
        <v>0</v>
      </c>
      <c r="E292">
        <v>0</v>
      </c>
    </row>
    <row r="293" spans="1:5">
      <c r="A293" t="s">
        <v>296</v>
      </c>
      <c r="C293">
        <v>1.226993865030675E-2</v>
      </c>
      <c r="D293">
        <v>1.8518518518518521E-2</v>
      </c>
      <c r="E293">
        <v>3.0405405405405411E-2</v>
      </c>
    </row>
    <row r="294" spans="1:5">
      <c r="A294" t="s">
        <v>297</v>
      </c>
      <c r="C294">
        <v>6.0606060606060606E-3</v>
      </c>
      <c r="D294">
        <v>-1.01010101010101E-2</v>
      </c>
      <c r="E294">
        <v>-6.5573770491803279E-3</v>
      </c>
    </row>
    <row r="295" spans="1:5">
      <c r="A295" t="s">
        <v>298</v>
      </c>
      <c r="C295">
        <v>-3.313253012048193E-2</v>
      </c>
      <c r="D295">
        <v>-2.244897959183673E-2</v>
      </c>
      <c r="E295">
        <v>-1.9801980198019799E-2</v>
      </c>
    </row>
    <row r="296" spans="1:5">
      <c r="A296" t="s">
        <v>299</v>
      </c>
      <c r="C296">
        <v>-4.0498442367601237E-2</v>
      </c>
      <c r="D296">
        <v>-6.2630480167014616E-3</v>
      </c>
      <c r="E296">
        <v>-1.3468013468013469E-2</v>
      </c>
    </row>
    <row r="297" spans="1:5">
      <c r="A297" t="s">
        <v>300</v>
      </c>
      <c r="C297">
        <v>-5.1948051948051951E-2</v>
      </c>
      <c r="D297">
        <v>-4.4117647058823532E-2</v>
      </c>
      <c r="E297">
        <v>-5.1194539249146763E-2</v>
      </c>
    </row>
    <row r="298" spans="1:5">
      <c r="A298" t="s">
        <v>301</v>
      </c>
      <c r="C298">
        <v>4.1095890410958902E-2</v>
      </c>
      <c r="D298">
        <v>3.7362637362637362E-2</v>
      </c>
      <c r="E298">
        <v>5.0359712230215833E-2</v>
      </c>
    </row>
    <row r="299" spans="1:5">
      <c r="A299" t="s">
        <v>302</v>
      </c>
      <c r="C299">
        <v>9.8684210526315784E-3</v>
      </c>
      <c r="D299">
        <v>-2.1186440677966102E-3</v>
      </c>
      <c r="E299">
        <v>-1.7123287671232879E-2</v>
      </c>
    </row>
    <row r="300" spans="1:5">
      <c r="A300" t="s">
        <v>303</v>
      </c>
      <c r="C300">
        <v>-9.7719869706840393E-2</v>
      </c>
      <c r="D300">
        <v>-9.9787685774946927E-2</v>
      </c>
      <c r="E300">
        <v>-9.7560975609756101E-2</v>
      </c>
    </row>
    <row r="301" spans="1:5">
      <c r="A301" t="s">
        <v>304</v>
      </c>
      <c r="C301">
        <v>-9.7472924187725629E-2</v>
      </c>
      <c r="D301">
        <v>-3.7735849056603772E-2</v>
      </c>
      <c r="E301">
        <v>-2.7027027027027029E-2</v>
      </c>
    </row>
    <row r="302" spans="1:5">
      <c r="A302" t="s">
        <v>305</v>
      </c>
      <c r="C302">
        <v>-0.1</v>
      </c>
      <c r="D302">
        <v>-3.7990196078431369E-2</v>
      </c>
      <c r="E302">
        <v>-5.9523809523809521E-2</v>
      </c>
    </row>
    <row r="303" spans="1:5">
      <c r="A303" t="s">
        <v>306</v>
      </c>
      <c r="C303">
        <v>9.7777777777777783E-2</v>
      </c>
      <c r="D303">
        <v>9.936305732484077E-2</v>
      </c>
      <c r="E303">
        <v>9.7046413502109699E-2</v>
      </c>
    </row>
    <row r="304" spans="1:5">
      <c r="A304" t="s">
        <v>307</v>
      </c>
      <c r="C304">
        <v>8.9068825910931168E-2</v>
      </c>
      <c r="D304">
        <v>3.0127462340672071E-2</v>
      </c>
      <c r="E304">
        <v>6.5384615384615388E-2</v>
      </c>
    </row>
    <row r="305" spans="1:5">
      <c r="A305" t="s">
        <v>308</v>
      </c>
      <c r="C305">
        <v>2.9739776951672861E-2</v>
      </c>
      <c r="D305">
        <v>-2.6996625421822271E-2</v>
      </c>
      <c r="E305">
        <v>1.083032490974729E-2</v>
      </c>
    </row>
    <row r="306" spans="1:5">
      <c r="A306" t="s">
        <v>309</v>
      </c>
      <c r="C306">
        <v>7.2202166064981952E-3</v>
      </c>
      <c r="D306">
        <v>1.38728323699422E-2</v>
      </c>
      <c r="E306">
        <v>-1.0714285714285709E-2</v>
      </c>
    </row>
    <row r="307" spans="1:5">
      <c r="A307" t="s">
        <v>310</v>
      </c>
      <c r="C307">
        <v>-2.5089605734767029E-2</v>
      </c>
      <c r="D307">
        <v>-2.5085518814139111E-2</v>
      </c>
      <c r="E307">
        <v>-1.444043321299639E-2</v>
      </c>
    </row>
    <row r="308" spans="1:5">
      <c r="A308" t="s">
        <v>311</v>
      </c>
      <c r="C308">
        <v>-1.102941176470588E-2</v>
      </c>
      <c r="D308">
        <v>-9.3567251461988306E-3</v>
      </c>
      <c r="E308">
        <v>-1.8315018315018319E-2</v>
      </c>
    </row>
    <row r="309" spans="1:5">
      <c r="A309" t="s">
        <v>312</v>
      </c>
      <c r="C309">
        <v>7.4349442379182153E-3</v>
      </c>
      <c r="D309">
        <v>3.5419126328217242E-3</v>
      </c>
      <c r="E309">
        <v>1.865671641791045E-2</v>
      </c>
    </row>
    <row r="310" spans="1:5">
      <c r="A310" t="s">
        <v>313</v>
      </c>
      <c r="C310">
        <v>7.3800738007380072E-3</v>
      </c>
      <c r="D310">
        <v>-1.7647058823529412E-2</v>
      </c>
      <c r="E310">
        <v>-1.465201465201465E-2</v>
      </c>
    </row>
    <row r="311" spans="1:5">
      <c r="A311" t="s">
        <v>314</v>
      </c>
      <c r="C311">
        <v>-3.2967032967032968E-2</v>
      </c>
      <c r="D311">
        <v>-2.2754491017964069E-2</v>
      </c>
      <c r="E311">
        <v>-3.3457249070631967E-2</v>
      </c>
    </row>
    <row r="312" spans="1:5">
      <c r="A312" t="s">
        <v>315</v>
      </c>
      <c r="C312">
        <v>5.3030303030303032E-2</v>
      </c>
      <c r="D312">
        <v>6.985294117647059E-2</v>
      </c>
      <c r="E312">
        <v>5.3846153846153849E-2</v>
      </c>
    </row>
    <row r="313" spans="1:5">
      <c r="A313" t="s">
        <v>316</v>
      </c>
      <c r="C313">
        <v>-1.798561151079137E-2</v>
      </c>
      <c r="D313">
        <v>-1.030927835051546E-2</v>
      </c>
      <c r="E313">
        <v>-2.9197080291970798E-2</v>
      </c>
    </row>
    <row r="314" spans="1:5">
      <c r="A314" t="s">
        <v>317</v>
      </c>
      <c r="C314">
        <v>1.8315018315018319E-2</v>
      </c>
      <c r="D314">
        <v>2.777777777777778E-2</v>
      </c>
      <c r="E314">
        <v>3.7593984962406013E-2</v>
      </c>
    </row>
    <row r="315" spans="1:5">
      <c r="A315" t="s">
        <v>318</v>
      </c>
      <c r="C315">
        <v>2.517985611510791E-2</v>
      </c>
      <c r="D315">
        <v>1.0135135135135139E-2</v>
      </c>
      <c r="E315">
        <v>-2.1739130434782612E-2</v>
      </c>
    </row>
    <row r="316" spans="1:5">
      <c r="A316" t="s">
        <v>319</v>
      </c>
      <c r="C316">
        <v>3.508771929824561E-3</v>
      </c>
      <c r="D316">
        <v>5.5741360089186179E-3</v>
      </c>
      <c r="E316">
        <v>1.4814814814814821E-2</v>
      </c>
    </row>
    <row r="317" spans="1:5">
      <c r="A317" t="s">
        <v>320</v>
      </c>
      <c r="C317">
        <v>-1.048951048951049E-2</v>
      </c>
      <c r="D317">
        <v>6.6518847006651876E-3</v>
      </c>
      <c r="E317">
        <v>-1.4598540145985399E-2</v>
      </c>
    </row>
    <row r="318" spans="1:5">
      <c r="A318" t="s">
        <v>321</v>
      </c>
      <c r="C318">
        <v>4.2402826855123678E-2</v>
      </c>
      <c r="D318">
        <v>4.6255506607929507E-2</v>
      </c>
      <c r="E318">
        <v>-3.7037037037037028E-2</v>
      </c>
    </row>
    <row r="319" spans="1:5">
      <c r="A319" t="s">
        <v>322</v>
      </c>
      <c r="C319">
        <v>-3.3898305084745763E-2</v>
      </c>
      <c r="D319">
        <v>-1.2631578947368421E-2</v>
      </c>
      <c r="E319">
        <v>-3.8461538461538459E-3</v>
      </c>
    </row>
    <row r="320" spans="1:5">
      <c r="A320" t="s">
        <v>323</v>
      </c>
      <c r="C320">
        <v>2.456140350877193E-2</v>
      </c>
      <c r="D320">
        <v>-1.918976545842218E-2</v>
      </c>
      <c r="E320">
        <v>-1.1583011583011581E-2</v>
      </c>
    </row>
    <row r="321" spans="1:5">
      <c r="A321" t="s">
        <v>324</v>
      </c>
      <c r="C321">
        <v>-6.8493150684931503E-3</v>
      </c>
      <c r="D321">
        <v>8.6956521739130436E-3</v>
      </c>
      <c r="E321">
        <v>-3.90625E-3</v>
      </c>
    </row>
    <row r="322" spans="1:5">
      <c r="A322" t="s">
        <v>325</v>
      </c>
      <c r="C322">
        <v>6.8965517241379309E-3</v>
      </c>
      <c r="D322">
        <v>-1.077586206896552E-2</v>
      </c>
      <c r="E322">
        <v>1.1764705882352939E-2</v>
      </c>
    </row>
    <row r="323" spans="1:5">
      <c r="A323" t="s">
        <v>326</v>
      </c>
      <c r="C323">
        <v>6.8493150684931503E-3</v>
      </c>
      <c r="D323">
        <v>3.3769063180827889E-2</v>
      </c>
      <c r="E323">
        <v>2.713178294573643E-2</v>
      </c>
    </row>
    <row r="324" spans="1:5">
      <c r="A324" t="s">
        <v>327</v>
      </c>
      <c r="C324">
        <v>4.0816326530612242E-2</v>
      </c>
      <c r="D324">
        <v>8.4299262381454156E-3</v>
      </c>
      <c r="E324">
        <v>-7.5471698113207548E-3</v>
      </c>
    </row>
    <row r="325" spans="1:5">
      <c r="A325" t="s">
        <v>328</v>
      </c>
      <c r="C325">
        <v>3.2679738562091512E-2</v>
      </c>
      <c r="D325">
        <v>1.2539184952978059E-2</v>
      </c>
      <c r="E325">
        <v>3.0418250950570339E-2</v>
      </c>
    </row>
    <row r="326" spans="1:5">
      <c r="A326" t="s">
        <v>329</v>
      </c>
      <c r="C326">
        <v>3.1645569620253167E-2</v>
      </c>
      <c r="D326">
        <v>3.0959752321981421E-2</v>
      </c>
      <c r="E326">
        <v>3.690036900369004E-3</v>
      </c>
    </row>
    <row r="327" spans="1:5">
      <c r="A327" t="s">
        <v>330</v>
      </c>
      <c r="C327">
        <v>-2.1472392638036811E-2</v>
      </c>
      <c r="D327">
        <v>-6.006006006006006E-3</v>
      </c>
      <c r="E327">
        <v>7.3529411764705881E-3</v>
      </c>
    </row>
    <row r="328" spans="1:5">
      <c r="A328" t="s">
        <v>331</v>
      </c>
      <c r="C328">
        <v>-9.4043887147335428E-3</v>
      </c>
      <c r="D328">
        <v>5.0352467270896274E-3</v>
      </c>
      <c r="E328">
        <v>-3.6496350364963498E-3</v>
      </c>
    </row>
    <row r="329" spans="1:5">
      <c r="A329" t="s">
        <v>332</v>
      </c>
      <c r="C329">
        <v>-2.5316455696202531E-2</v>
      </c>
      <c r="D329">
        <v>-1.4028056112224451E-2</v>
      </c>
      <c r="E329">
        <v>-4.0293040293040303E-2</v>
      </c>
    </row>
    <row r="330" spans="1:5">
      <c r="A330" t="s">
        <v>333</v>
      </c>
      <c r="C330">
        <v>0</v>
      </c>
      <c r="D330">
        <v>-6.0975609756097563E-3</v>
      </c>
      <c r="E330">
        <v>3.8167938931297708E-3</v>
      </c>
    </row>
    <row r="331" spans="1:5">
      <c r="A331" t="s">
        <v>334</v>
      </c>
      <c r="C331">
        <v>6.4935064935064939E-3</v>
      </c>
      <c r="D331">
        <v>1.226993865030675E-2</v>
      </c>
      <c r="E331">
        <v>1.901140684410646E-2</v>
      </c>
    </row>
    <row r="332" spans="1:5">
      <c r="A332" t="s">
        <v>335</v>
      </c>
      <c r="C332">
        <v>-1.2903225806451609E-2</v>
      </c>
      <c r="D332">
        <v>-8.0808080808080808E-3</v>
      </c>
      <c r="E332">
        <v>-1.119402985074627E-2</v>
      </c>
    </row>
    <row r="333" spans="1:5">
      <c r="A333" t="s">
        <v>336</v>
      </c>
      <c r="C333">
        <v>6.5359477124183009E-3</v>
      </c>
      <c r="D333">
        <v>2.0366598778004071E-3</v>
      </c>
      <c r="E333">
        <v>-7.5471698113207548E-3</v>
      </c>
    </row>
    <row r="334" spans="1:5">
      <c r="A334" t="s">
        <v>337</v>
      </c>
      <c r="C334">
        <v>-6.4935064935064939E-3</v>
      </c>
      <c r="D334">
        <v>-8.130081300813009E-3</v>
      </c>
      <c r="E334">
        <v>-2.6615969581749051E-2</v>
      </c>
    </row>
    <row r="335" spans="1:5">
      <c r="A335" t="s">
        <v>338</v>
      </c>
      <c r="C335">
        <v>-6.5359477124183009E-3</v>
      </c>
      <c r="D335">
        <v>-1.1270491803278691E-2</v>
      </c>
      <c r="E335">
        <v>0</v>
      </c>
    </row>
    <row r="336" spans="1:5">
      <c r="A336" t="s">
        <v>339</v>
      </c>
      <c r="C336">
        <v>0</v>
      </c>
      <c r="D336">
        <v>2.0725388601036268E-3</v>
      </c>
      <c r="E336">
        <v>0</v>
      </c>
    </row>
    <row r="337" spans="1:5">
      <c r="A337" t="s">
        <v>340</v>
      </c>
      <c r="C337">
        <v>2.6315789473684209E-2</v>
      </c>
      <c r="D337">
        <v>0</v>
      </c>
      <c r="E337">
        <v>-1.5625E-2</v>
      </c>
    </row>
    <row r="338" spans="1:5">
      <c r="A338" t="s">
        <v>341</v>
      </c>
      <c r="C338">
        <v>-2.2435897435897439E-2</v>
      </c>
      <c r="D338">
        <v>-2.1716649431230611E-2</v>
      </c>
      <c r="E338">
        <v>0</v>
      </c>
    </row>
    <row r="339" spans="1:5">
      <c r="A339" t="s">
        <v>342</v>
      </c>
      <c r="C339">
        <v>-6.5573770491803279E-3</v>
      </c>
      <c r="D339">
        <v>4.2283298097251587E-3</v>
      </c>
      <c r="E339">
        <v>1.1904761904761901E-2</v>
      </c>
    </row>
    <row r="340" spans="1:5">
      <c r="A340" t="s">
        <v>343</v>
      </c>
      <c r="C340">
        <v>2.9702970297029702E-2</v>
      </c>
      <c r="D340">
        <v>4.2105263157894743E-2</v>
      </c>
      <c r="E340">
        <v>0</v>
      </c>
    </row>
    <row r="341" spans="1:5">
      <c r="A341" t="s">
        <v>344</v>
      </c>
      <c r="C341">
        <v>-3.205128205128205E-3</v>
      </c>
      <c r="D341">
        <v>8.0808080808080808E-3</v>
      </c>
      <c r="E341">
        <v>-2.3529411764705879E-2</v>
      </c>
    </row>
    <row r="342" spans="1:5">
      <c r="A342" t="s">
        <v>345</v>
      </c>
      <c r="C342">
        <v>-1.607717041800643E-2</v>
      </c>
      <c r="D342">
        <v>-3.0060120240480962E-3</v>
      </c>
      <c r="E342">
        <v>2.811244979919679E-2</v>
      </c>
    </row>
    <row r="343" spans="1:5">
      <c r="A343" t="s">
        <v>346</v>
      </c>
      <c r="C343">
        <v>9.8039215686274508E-3</v>
      </c>
      <c r="D343">
        <v>1.0050251256281411E-2</v>
      </c>
      <c r="E343">
        <v>3.90625E-3</v>
      </c>
    </row>
    <row r="344" spans="1:5">
      <c r="A344" t="s">
        <v>347</v>
      </c>
      <c r="C344">
        <v>6.4724919093851136E-3</v>
      </c>
      <c r="D344">
        <v>3.9800995024875621E-2</v>
      </c>
      <c r="E344">
        <v>3.8910505836575883E-2</v>
      </c>
    </row>
    <row r="345" spans="1:5">
      <c r="A345" t="s">
        <v>348</v>
      </c>
      <c r="C345">
        <v>3.2154340836012861E-3</v>
      </c>
      <c r="D345">
        <v>1.913875598086124E-2</v>
      </c>
      <c r="E345">
        <v>-1.4981273408239701E-2</v>
      </c>
    </row>
    <row r="346" spans="1:5">
      <c r="A346" t="s">
        <v>349</v>
      </c>
      <c r="C346">
        <v>9.6153846153846159E-3</v>
      </c>
      <c r="D346">
        <v>-1.8779342723004699E-2</v>
      </c>
      <c r="E346">
        <v>-2.2813688212927761E-2</v>
      </c>
    </row>
    <row r="347" spans="1:5">
      <c r="A347" t="s">
        <v>350</v>
      </c>
      <c r="C347">
        <v>-6.3492063492063492E-3</v>
      </c>
      <c r="D347">
        <v>-1.435406698564593E-2</v>
      </c>
      <c r="E347">
        <v>-2.723735408560311E-2</v>
      </c>
    </row>
    <row r="348" spans="1:5">
      <c r="A348" t="s">
        <v>351</v>
      </c>
      <c r="C348">
        <v>-9.5846645367412137E-3</v>
      </c>
      <c r="D348">
        <v>-4.8543689320388354E-3</v>
      </c>
      <c r="E348">
        <v>4.0000000000000001E-3</v>
      </c>
    </row>
    <row r="349" spans="1:5">
      <c r="A349" t="s">
        <v>352</v>
      </c>
      <c r="C349">
        <v>0</v>
      </c>
      <c r="D349">
        <v>1.9512195121951219E-2</v>
      </c>
      <c r="E349">
        <v>1.5936254980079681E-2</v>
      </c>
    </row>
    <row r="350" spans="1:5">
      <c r="A350" t="s">
        <v>353</v>
      </c>
      <c r="C350">
        <v>6.4516129032258056E-3</v>
      </c>
      <c r="D350">
        <v>9.5693779904306216E-3</v>
      </c>
      <c r="E350">
        <v>7.8431372549019607E-3</v>
      </c>
    </row>
    <row r="351" spans="1:5">
      <c r="A351" t="s">
        <v>354</v>
      </c>
      <c r="C351">
        <v>-1.282051282051282E-2</v>
      </c>
      <c r="D351">
        <v>-1.8957345971563979E-2</v>
      </c>
      <c r="E351">
        <v>-1.556420233463035E-2</v>
      </c>
    </row>
    <row r="352" spans="1:5">
      <c r="A352" t="s">
        <v>355</v>
      </c>
      <c r="C352">
        <v>9.74025974025974E-3</v>
      </c>
      <c r="D352">
        <v>1.932367149758454E-2</v>
      </c>
      <c r="E352">
        <v>-1.185770750988142E-2</v>
      </c>
    </row>
    <row r="353" spans="1:5">
      <c r="A353" t="s">
        <v>356</v>
      </c>
      <c r="C353">
        <v>3.2154340836012861E-3</v>
      </c>
      <c r="D353">
        <v>-3.3175355450236969E-2</v>
      </c>
      <c r="E353">
        <v>4.0000000000000001E-3</v>
      </c>
    </row>
    <row r="354" spans="1:5">
      <c r="A354" t="s">
        <v>357</v>
      </c>
      <c r="C354">
        <v>2.8846153846153851E-2</v>
      </c>
      <c r="D354">
        <v>2.9411764705882349E-2</v>
      </c>
      <c r="E354">
        <v>1.1952191235059761E-2</v>
      </c>
    </row>
    <row r="355" spans="1:5">
      <c r="A355" t="s">
        <v>358</v>
      </c>
      <c r="C355">
        <v>9.3457943925233638E-3</v>
      </c>
      <c r="D355">
        <v>1.9047619047619049E-2</v>
      </c>
      <c r="E355">
        <v>1.968503937007874E-2</v>
      </c>
    </row>
    <row r="356" spans="1:5">
      <c r="A356" t="s">
        <v>359</v>
      </c>
      <c r="C356">
        <v>6.1728395061728392E-3</v>
      </c>
      <c r="D356">
        <v>4.6728971962616819E-3</v>
      </c>
      <c r="E356">
        <v>-3.8610038610038611E-3</v>
      </c>
    </row>
    <row r="357" spans="1:5">
      <c r="A357" t="s">
        <v>360</v>
      </c>
      <c r="C357">
        <v>1.226993865030675E-2</v>
      </c>
      <c r="D357">
        <v>4.6511627906976744E-3</v>
      </c>
      <c r="E357">
        <v>-3.875968992248062E-3</v>
      </c>
    </row>
    <row r="358" spans="1:5">
      <c r="A358" t="s">
        <v>361</v>
      </c>
      <c r="C358">
        <v>-2.4242424242424239E-2</v>
      </c>
      <c r="D358">
        <v>-1.8518518518518521E-2</v>
      </c>
      <c r="E358">
        <v>-2.723735408560311E-2</v>
      </c>
    </row>
    <row r="359" spans="1:5">
      <c r="A359" t="s">
        <v>362</v>
      </c>
      <c r="C359">
        <v>2.7950310559006208E-2</v>
      </c>
      <c r="D359">
        <v>2.358490566037736E-2</v>
      </c>
      <c r="E359">
        <v>0.02</v>
      </c>
    </row>
    <row r="360" spans="1:5">
      <c r="A360" t="s">
        <v>363</v>
      </c>
      <c r="C360">
        <v>-2.1148036253776439E-2</v>
      </c>
      <c r="D360">
        <v>0</v>
      </c>
      <c r="E360">
        <v>1.5686274509803921E-2</v>
      </c>
    </row>
    <row r="361" spans="1:5">
      <c r="A361" t="s">
        <v>364</v>
      </c>
      <c r="C361">
        <v>1.234567901234568E-2</v>
      </c>
      <c r="D361">
        <v>4.608294930875576E-3</v>
      </c>
      <c r="E361">
        <v>-1.9305019305019301E-2</v>
      </c>
    </row>
    <row r="362" spans="1:5">
      <c r="A362" t="s">
        <v>365</v>
      </c>
      <c r="C362">
        <v>-1.8292682926829271E-2</v>
      </c>
      <c r="D362">
        <v>-4.5871559633027534E-3</v>
      </c>
      <c r="E362">
        <v>1.5748031496062988E-2</v>
      </c>
    </row>
    <row r="363" spans="1:5">
      <c r="A363" t="s">
        <v>366</v>
      </c>
      <c r="C363">
        <v>0</v>
      </c>
      <c r="D363">
        <v>-4.608294930875576E-3</v>
      </c>
      <c r="E363">
        <v>-7.7519379844961239E-3</v>
      </c>
    </row>
    <row r="364" spans="1:5">
      <c r="A364" t="s">
        <v>367</v>
      </c>
      <c r="C364">
        <v>-1.2422360248447201E-2</v>
      </c>
      <c r="D364">
        <v>0</v>
      </c>
      <c r="E364">
        <v>-7.8125E-3</v>
      </c>
    </row>
    <row r="365" spans="1:5">
      <c r="A365" t="s">
        <v>368</v>
      </c>
      <c r="C365">
        <v>1.257861635220126E-2</v>
      </c>
      <c r="D365">
        <v>9.2592592592592587E-3</v>
      </c>
      <c r="E365">
        <v>6.6929133858267723E-2</v>
      </c>
    </row>
    <row r="366" spans="1:5">
      <c r="A366" t="s">
        <v>369</v>
      </c>
      <c r="C366">
        <v>3.105590062111801E-3</v>
      </c>
      <c r="D366">
        <v>9.1743119266055051E-3</v>
      </c>
      <c r="E366">
        <v>3.3210332103321027E-2</v>
      </c>
    </row>
    <row r="367" spans="1:5">
      <c r="A367" t="s">
        <v>370</v>
      </c>
      <c r="C367">
        <v>0</v>
      </c>
      <c r="D367">
        <v>0</v>
      </c>
      <c r="E367">
        <v>1.428571428571429E-2</v>
      </c>
    </row>
    <row r="368" spans="1:5">
      <c r="A368" t="s">
        <v>371</v>
      </c>
      <c r="C368">
        <v>-6.1919504643962852E-3</v>
      </c>
      <c r="D368">
        <v>-4.5454545454545452E-3</v>
      </c>
      <c r="E368">
        <v>-2.464788732394366E-2</v>
      </c>
    </row>
    <row r="369" spans="1:5">
      <c r="A369" t="s">
        <v>372</v>
      </c>
      <c r="C369">
        <v>1.5576323987538941E-2</v>
      </c>
      <c r="D369">
        <v>1.3698630136986301E-2</v>
      </c>
      <c r="E369">
        <v>7.2202166064981952E-3</v>
      </c>
    </row>
    <row r="370" spans="1:5">
      <c r="A370" t="s">
        <v>373</v>
      </c>
      <c r="C370">
        <v>-3.0674846625766872E-3</v>
      </c>
      <c r="D370">
        <v>1.8018018018018021E-2</v>
      </c>
      <c r="E370">
        <v>1.075268817204301E-2</v>
      </c>
    </row>
    <row r="371" spans="1:5">
      <c r="A371" t="s">
        <v>374</v>
      </c>
      <c r="C371">
        <v>9.2307692307692316E-3</v>
      </c>
      <c r="D371">
        <v>0</v>
      </c>
      <c r="E371">
        <v>-1.4184397163120571E-2</v>
      </c>
    </row>
    <row r="372" spans="1:5">
      <c r="A372" t="s">
        <v>375</v>
      </c>
      <c r="C372">
        <v>9.1463414634146336E-3</v>
      </c>
      <c r="D372">
        <v>2.2123893805309731E-2</v>
      </c>
      <c r="E372">
        <v>1.4388489208633091E-2</v>
      </c>
    </row>
    <row r="373" spans="1:5">
      <c r="A373" t="s">
        <v>376</v>
      </c>
      <c r="C373">
        <v>-3.021148036253776E-3</v>
      </c>
      <c r="D373">
        <v>-4.329004329004329E-3</v>
      </c>
      <c r="E373">
        <v>1.063829787234043E-2</v>
      </c>
    </row>
    <row r="374" spans="1:5">
      <c r="A374" t="s">
        <v>377</v>
      </c>
      <c r="C374">
        <v>-1.8181818181818181E-2</v>
      </c>
      <c r="D374">
        <v>-1.7391304347826091E-2</v>
      </c>
      <c r="E374">
        <v>3.508771929824561E-3</v>
      </c>
    </row>
    <row r="375" spans="1:5">
      <c r="A375" t="s">
        <v>378</v>
      </c>
      <c r="C375">
        <v>2.469135802469136E-2</v>
      </c>
      <c r="D375">
        <v>1.3274336283185841E-2</v>
      </c>
      <c r="E375">
        <v>0</v>
      </c>
    </row>
    <row r="376" spans="1:5">
      <c r="A376" t="s">
        <v>379</v>
      </c>
      <c r="C376">
        <v>4.8192771084337352E-2</v>
      </c>
      <c r="D376">
        <v>0</v>
      </c>
      <c r="E376">
        <v>0</v>
      </c>
    </row>
    <row r="377" spans="1:5">
      <c r="A377" t="s">
        <v>380</v>
      </c>
      <c r="C377">
        <v>2.873563218390805E-3</v>
      </c>
      <c r="D377">
        <v>0</v>
      </c>
      <c r="E377">
        <v>0</v>
      </c>
    </row>
    <row r="378" spans="1:5">
      <c r="A378" t="s">
        <v>381</v>
      </c>
      <c r="C378">
        <v>8.5959885386819486E-3</v>
      </c>
      <c r="D378">
        <v>0</v>
      </c>
      <c r="E378">
        <v>-2.097902097902098E-2</v>
      </c>
    </row>
    <row r="379" spans="1:5">
      <c r="A379" t="s">
        <v>382</v>
      </c>
      <c r="C379">
        <v>-2.556818181818182E-2</v>
      </c>
      <c r="D379">
        <v>-8.7336244541484712E-3</v>
      </c>
      <c r="E379">
        <v>-2.8571428571428571E-2</v>
      </c>
    </row>
    <row r="380" spans="1:5">
      <c r="A380" t="s">
        <v>383</v>
      </c>
      <c r="C380">
        <v>0</v>
      </c>
      <c r="D380">
        <v>1.7621145374449341E-2</v>
      </c>
      <c r="E380">
        <v>1.470588235294118E-2</v>
      </c>
    </row>
    <row r="381" spans="1:5">
      <c r="A381" t="s">
        <v>384</v>
      </c>
      <c r="C381">
        <v>3.7900874635568522E-2</v>
      </c>
      <c r="D381">
        <v>4.329004329004329E-3</v>
      </c>
      <c r="E381">
        <v>-7.246376811594203E-3</v>
      </c>
    </row>
    <row r="382" spans="1:5">
      <c r="A382" t="s">
        <v>385</v>
      </c>
      <c r="C382">
        <v>1.966292134831461E-2</v>
      </c>
      <c r="D382">
        <v>-1.7241379310344831E-2</v>
      </c>
      <c r="E382">
        <v>-1.4598540145985399E-2</v>
      </c>
    </row>
    <row r="383" spans="1:5">
      <c r="A383" t="s">
        <v>386</v>
      </c>
      <c r="C383">
        <v>-8.2644628099173556E-3</v>
      </c>
      <c r="D383">
        <v>-4.3859649122807024E-3</v>
      </c>
      <c r="E383">
        <v>-1.4814814814814821E-2</v>
      </c>
    </row>
    <row r="384" spans="1:5">
      <c r="A384" t="s">
        <v>387</v>
      </c>
      <c r="C384">
        <v>2.5000000000000001E-2</v>
      </c>
      <c r="D384">
        <v>1.3215859030837E-2</v>
      </c>
      <c r="E384">
        <v>7.5187969924812026E-3</v>
      </c>
    </row>
    <row r="385" spans="1:5">
      <c r="A385" t="s">
        <v>388</v>
      </c>
      <c r="C385">
        <v>8.130081300813009E-3</v>
      </c>
      <c r="D385">
        <v>-2.1739130434782612E-2</v>
      </c>
      <c r="E385">
        <v>-1.492537313432836E-2</v>
      </c>
    </row>
    <row r="386" spans="1:5">
      <c r="A386" t="s">
        <v>389</v>
      </c>
      <c r="C386">
        <v>4.5698924731182797E-2</v>
      </c>
      <c r="D386">
        <v>4.8888888888888891E-2</v>
      </c>
      <c r="E386">
        <v>2.6515151515151519E-2</v>
      </c>
    </row>
    <row r="387" spans="1:5">
      <c r="A387" t="s">
        <v>390</v>
      </c>
      <c r="C387">
        <v>0</v>
      </c>
      <c r="D387">
        <v>-4.2372881355932203E-3</v>
      </c>
      <c r="E387">
        <v>-3.690036900369004E-3</v>
      </c>
    </row>
    <row r="388" spans="1:5">
      <c r="A388" t="s">
        <v>391</v>
      </c>
      <c r="C388">
        <v>1.799485861182519E-2</v>
      </c>
      <c r="D388">
        <v>4.2553191489361703E-3</v>
      </c>
      <c r="E388">
        <v>3.7037037037037038E-3</v>
      </c>
    </row>
    <row r="389" spans="1:5">
      <c r="A389" t="s">
        <v>392</v>
      </c>
      <c r="C389">
        <v>-5.0505050505050509E-3</v>
      </c>
      <c r="D389">
        <v>0</v>
      </c>
      <c r="E389">
        <v>3.690036900369004E-3</v>
      </c>
    </row>
    <row r="390" spans="1:5">
      <c r="A390" t="s">
        <v>393</v>
      </c>
      <c r="C390">
        <v>7.6142131979695434E-3</v>
      </c>
      <c r="D390">
        <v>1.6949152542372881E-2</v>
      </c>
      <c r="E390">
        <v>7.3529411764705881E-3</v>
      </c>
    </row>
    <row r="391" spans="1:5">
      <c r="A391" t="s">
        <v>394</v>
      </c>
      <c r="C391">
        <v>5.0377833753148613E-3</v>
      </c>
      <c r="D391">
        <v>-2.0833333333333329E-2</v>
      </c>
      <c r="E391">
        <v>1.4598540145985399E-2</v>
      </c>
    </row>
    <row r="392" spans="1:5">
      <c r="A392" t="s">
        <v>395</v>
      </c>
      <c r="C392">
        <v>3.7593984962406013E-2</v>
      </c>
      <c r="D392">
        <v>4.2553191489361703E-3</v>
      </c>
      <c r="E392">
        <v>-1.4388489208633091E-2</v>
      </c>
    </row>
    <row r="393" spans="1:5">
      <c r="A393" t="s">
        <v>396</v>
      </c>
      <c r="C393">
        <v>1.4492753623188409E-2</v>
      </c>
      <c r="D393">
        <v>0</v>
      </c>
      <c r="E393">
        <v>2.9197080291970798E-2</v>
      </c>
    </row>
    <row r="394" spans="1:5">
      <c r="A394" t="s">
        <v>397</v>
      </c>
      <c r="C394">
        <v>-9.5238095238095247E-3</v>
      </c>
      <c r="D394">
        <v>4.2372881355932203E-3</v>
      </c>
      <c r="E394">
        <v>-1.4184397163120571E-2</v>
      </c>
    </row>
    <row r="395" spans="1:5">
      <c r="A395" t="s">
        <v>398</v>
      </c>
      <c r="C395">
        <v>-3.6057692307692298E-2</v>
      </c>
      <c r="D395">
        <v>-4.2194092827004218E-2</v>
      </c>
      <c r="E395">
        <v>-2.517985611510791E-2</v>
      </c>
    </row>
    <row r="396" spans="1:5">
      <c r="A396" t="s">
        <v>399</v>
      </c>
      <c r="C396">
        <v>2.7431421446384038E-2</v>
      </c>
      <c r="D396">
        <v>1.3215859030837E-2</v>
      </c>
      <c r="E396">
        <v>7.3800738007380072E-3</v>
      </c>
    </row>
    <row r="397" spans="1:5">
      <c r="A397" t="s">
        <v>400</v>
      </c>
      <c r="C397">
        <v>-1.6990291262135922E-2</v>
      </c>
      <c r="D397">
        <v>-1.3043478260869559E-2</v>
      </c>
      <c r="E397">
        <v>0</v>
      </c>
    </row>
    <row r="398" spans="1:5">
      <c r="A398" t="s">
        <v>401</v>
      </c>
      <c r="C398">
        <v>2.469135802469136E-2</v>
      </c>
      <c r="D398">
        <v>3.083700440528634E-2</v>
      </c>
      <c r="E398">
        <v>3.2967032967032968E-2</v>
      </c>
    </row>
    <row r="399" spans="1:5">
      <c r="A399" t="s">
        <v>402</v>
      </c>
      <c r="C399">
        <v>7.2289156626506026E-3</v>
      </c>
      <c r="D399">
        <v>4.2735042735042739E-3</v>
      </c>
      <c r="E399">
        <v>-7.0921985815602844E-3</v>
      </c>
    </row>
    <row r="400" spans="1:5">
      <c r="A400" t="s">
        <v>403</v>
      </c>
      <c r="C400">
        <v>-4.7846889952153108E-3</v>
      </c>
      <c r="D400">
        <v>1.276595744680851E-2</v>
      </c>
      <c r="E400">
        <v>0</v>
      </c>
    </row>
    <row r="401" spans="1:5">
      <c r="A401" t="s">
        <v>404</v>
      </c>
      <c r="C401">
        <v>-9.6153846153846159E-3</v>
      </c>
      <c r="D401">
        <v>-2.5210084033613449E-2</v>
      </c>
      <c r="E401">
        <v>-1.0714285714285709E-2</v>
      </c>
    </row>
    <row r="402" spans="1:5">
      <c r="A402" t="s">
        <v>405</v>
      </c>
      <c r="C402">
        <v>-1.2135922330097091E-2</v>
      </c>
      <c r="D402">
        <v>0</v>
      </c>
      <c r="E402">
        <v>-1.083032490974729E-2</v>
      </c>
    </row>
    <row r="403" spans="1:5">
      <c r="A403" t="s">
        <v>406</v>
      </c>
      <c r="C403">
        <v>-2.4570024570024569E-2</v>
      </c>
      <c r="D403">
        <v>4.3103448275862068E-3</v>
      </c>
      <c r="E403">
        <v>-7.2992700729926996E-3</v>
      </c>
    </row>
    <row r="404" spans="1:5">
      <c r="A404" t="s">
        <v>407</v>
      </c>
      <c r="C404">
        <v>0</v>
      </c>
      <c r="D404">
        <v>-4.2918454935622317E-3</v>
      </c>
      <c r="E404">
        <v>0</v>
      </c>
    </row>
    <row r="405" spans="1:5">
      <c r="A405" t="s">
        <v>408</v>
      </c>
      <c r="C405">
        <v>1.0075566750629719E-2</v>
      </c>
      <c r="D405">
        <v>0</v>
      </c>
      <c r="E405">
        <v>2.5735294117647061E-2</v>
      </c>
    </row>
    <row r="406" spans="1:5">
      <c r="A406" t="s">
        <v>409</v>
      </c>
      <c r="C406">
        <v>1.2468827930174561E-2</v>
      </c>
      <c r="D406">
        <v>0</v>
      </c>
      <c r="E406">
        <v>-7.1684587813620072E-3</v>
      </c>
    </row>
    <row r="407" spans="1:5">
      <c r="A407" t="s">
        <v>410</v>
      </c>
      <c r="C407">
        <v>9.852216748768473E-3</v>
      </c>
      <c r="D407">
        <v>1.7241379310344831E-2</v>
      </c>
      <c r="E407">
        <v>3.6101083032490967E-2</v>
      </c>
    </row>
    <row r="408" spans="1:5">
      <c r="A408" t="s">
        <v>411</v>
      </c>
      <c r="C408">
        <v>-7.3170731707317077E-3</v>
      </c>
      <c r="D408">
        <v>0</v>
      </c>
      <c r="E408">
        <v>-3.4843205574912892E-3</v>
      </c>
    </row>
    <row r="409" spans="1:5">
      <c r="A409" t="s">
        <v>412</v>
      </c>
      <c r="C409">
        <v>1.9656019656019659E-2</v>
      </c>
      <c r="D409">
        <v>1.6949152542372881E-2</v>
      </c>
      <c r="E409">
        <v>5.5944055944055937E-2</v>
      </c>
    </row>
    <row r="410" spans="1:5">
      <c r="A410" t="s">
        <v>413</v>
      </c>
      <c r="C410">
        <v>1.204819277108434E-2</v>
      </c>
      <c r="D410">
        <v>2.0833333333333329E-2</v>
      </c>
      <c r="E410">
        <v>-1.324503311258278E-2</v>
      </c>
    </row>
    <row r="411" spans="1:5">
      <c r="A411" t="s">
        <v>414</v>
      </c>
      <c r="C411">
        <v>2.1428571428571429E-2</v>
      </c>
      <c r="D411">
        <v>1.2244897959183669E-2</v>
      </c>
      <c r="E411">
        <v>-6.7114093959731542E-3</v>
      </c>
    </row>
    <row r="412" spans="1:5">
      <c r="A412" t="s">
        <v>415</v>
      </c>
      <c r="C412">
        <v>1.3986013986013989E-2</v>
      </c>
      <c r="D412">
        <v>1.6129032258064519E-2</v>
      </c>
      <c r="E412">
        <v>3.378378378378379E-3</v>
      </c>
    </row>
    <row r="413" spans="1:5">
      <c r="A413" t="s">
        <v>416</v>
      </c>
      <c r="C413">
        <v>-6.8965517241379309E-3</v>
      </c>
      <c r="D413">
        <v>-3.968253968253968E-3</v>
      </c>
      <c r="E413">
        <v>0</v>
      </c>
    </row>
    <row r="414" spans="1:5">
      <c r="A414" t="s">
        <v>417</v>
      </c>
      <c r="C414">
        <v>-2.3148148148148151E-3</v>
      </c>
      <c r="D414">
        <v>1.9920318725099601E-2</v>
      </c>
      <c r="E414">
        <v>3.3670033670033669E-2</v>
      </c>
    </row>
    <row r="415" spans="1:5">
      <c r="A415" t="s">
        <v>418</v>
      </c>
      <c r="C415">
        <v>-1.6241299303944311E-2</v>
      </c>
      <c r="D415">
        <v>-1.171875E-2</v>
      </c>
      <c r="E415">
        <v>-1.6286644951140069E-2</v>
      </c>
    </row>
    <row r="416" spans="1:5">
      <c r="A416" t="s">
        <v>419</v>
      </c>
      <c r="C416">
        <v>1.4150943396226421E-2</v>
      </c>
      <c r="D416">
        <v>1.58102766798419E-2</v>
      </c>
      <c r="E416">
        <v>0</v>
      </c>
    </row>
    <row r="417" spans="1:5">
      <c r="A417" t="s">
        <v>420</v>
      </c>
      <c r="C417">
        <v>-4.6511627906976744E-3</v>
      </c>
      <c r="D417">
        <v>-1.556420233463035E-2</v>
      </c>
      <c r="E417">
        <v>-4.6357615894039743E-2</v>
      </c>
    </row>
    <row r="418" spans="1:5">
      <c r="A418" t="s">
        <v>421</v>
      </c>
      <c r="C418">
        <v>9.3457943925233638E-3</v>
      </c>
      <c r="D418">
        <v>2.3715415019762841E-2</v>
      </c>
      <c r="E418">
        <v>-2.4305555555555559E-2</v>
      </c>
    </row>
    <row r="419" spans="1:5">
      <c r="A419" t="s">
        <v>422</v>
      </c>
      <c r="C419">
        <v>2.314814814814815E-2</v>
      </c>
      <c r="D419">
        <v>3.4749034749034749E-2</v>
      </c>
      <c r="E419">
        <v>-2.1352313167259791E-2</v>
      </c>
    </row>
    <row r="420" spans="1:5">
      <c r="A420" t="s">
        <v>423</v>
      </c>
      <c r="C420">
        <v>9.0497737556561094E-3</v>
      </c>
      <c r="D420">
        <v>0</v>
      </c>
      <c r="E420">
        <v>-3.272727272727273E-2</v>
      </c>
    </row>
    <row r="421" spans="1:5">
      <c r="A421" t="s">
        <v>424</v>
      </c>
      <c r="C421">
        <v>3.1390134529147982E-2</v>
      </c>
      <c r="D421">
        <v>-1.492537313432836E-2</v>
      </c>
      <c r="E421">
        <v>1.12781954887218E-2</v>
      </c>
    </row>
    <row r="422" spans="1:5">
      <c r="A422" t="s">
        <v>425</v>
      </c>
      <c r="C422">
        <v>-4.5652173913043478E-2</v>
      </c>
      <c r="D422">
        <v>-1.515151515151515E-2</v>
      </c>
      <c r="E422">
        <v>-2.6022304832713759E-2</v>
      </c>
    </row>
    <row r="423" spans="1:5">
      <c r="A423" t="s">
        <v>426</v>
      </c>
      <c r="C423">
        <v>-1.5945330296127561E-2</v>
      </c>
      <c r="D423">
        <v>3.8461538461538459E-3</v>
      </c>
      <c r="E423">
        <v>3.8167938931297708E-3</v>
      </c>
    </row>
    <row r="424" spans="1:5">
      <c r="A424" t="s">
        <v>427</v>
      </c>
      <c r="C424">
        <v>1.388888888888889E-2</v>
      </c>
      <c r="D424">
        <v>1.532567049808429E-2</v>
      </c>
      <c r="E424">
        <v>-2.2813688212927761E-2</v>
      </c>
    </row>
    <row r="425" spans="1:5">
      <c r="A425" t="s">
        <v>428</v>
      </c>
      <c r="C425">
        <v>2.9680365296803651E-2</v>
      </c>
      <c r="D425">
        <v>3.0188679245283019E-2</v>
      </c>
      <c r="E425">
        <v>-3.891050583657588E-3</v>
      </c>
    </row>
    <row r="426" spans="1:5">
      <c r="A426" t="s">
        <v>429</v>
      </c>
      <c r="C426">
        <v>4.434589800443459E-3</v>
      </c>
      <c r="D426">
        <v>2.564102564102564E-2</v>
      </c>
      <c r="E426">
        <v>3.125E-2</v>
      </c>
    </row>
    <row r="427" spans="1:5">
      <c r="A427" t="s">
        <v>430</v>
      </c>
      <c r="C427">
        <v>8.8300220750551876E-3</v>
      </c>
      <c r="D427">
        <v>2.5000000000000001E-2</v>
      </c>
      <c r="E427">
        <v>3.787878787878788E-3</v>
      </c>
    </row>
    <row r="428" spans="1:5">
      <c r="A428" t="s">
        <v>431</v>
      </c>
      <c r="B428">
        <v>-6.0790273556231003E-3</v>
      </c>
      <c r="C428">
        <v>-1.5317286652078771E-2</v>
      </c>
      <c r="D428">
        <v>-1.393728222996516E-2</v>
      </c>
    </row>
    <row r="429" spans="1:5">
      <c r="A429" t="s">
        <v>432</v>
      </c>
      <c r="B429">
        <v>1.834862385321101E-2</v>
      </c>
      <c r="C429">
        <v>-1.555555555555556E-2</v>
      </c>
      <c r="D429">
        <v>1.7667844522968199E-2</v>
      </c>
    </row>
    <row r="430" spans="1:5">
      <c r="A430" t="s">
        <v>433</v>
      </c>
      <c r="B430">
        <v>3.1031031031031029E-2</v>
      </c>
      <c r="C430">
        <v>-3.8374717832957109E-2</v>
      </c>
      <c r="D430">
        <v>-1.7361111111111108E-2</v>
      </c>
    </row>
    <row r="431" spans="1:5">
      <c r="A431" t="s">
        <v>434</v>
      </c>
      <c r="B431">
        <v>-3.6893203883495138E-2</v>
      </c>
      <c r="C431">
        <v>-3.2863849765258218E-2</v>
      </c>
      <c r="D431">
        <v>7.0671378091872791E-3</v>
      </c>
    </row>
    <row r="432" spans="1:5">
      <c r="A432" t="s">
        <v>435</v>
      </c>
      <c r="B432">
        <v>2.3185483870967739E-2</v>
      </c>
      <c r="C432">
        <v>2.4271844660194168E-3</v>
      </c>
      <c r="D432">
        <v>2.8070175438596488E-2</v>
      </c>
    </row>
    <row r="433" spans="1:4">
      <c r="A433" t="s">
        <v>436</v>
      </c>
      <c r="B433">
        <v>9.852216748768473E-3</v>
      </c>
      <c r="C433">
        <v>7.990314769975787E-2</v>
      </c>
      <c r="D433">
        <v>1.36518771331058E-2</v>
      </c>
    </row>
    <row r="434" spans="1:4">
      <c r="A434" t="s">
        <v>437</v>
      </c>
      <c r="B434">
        <v>-2.5365853658536591E-2</v>
      </c>
      <c r="C434">
        <v>1.5695067264573991E-2</v>
      </c>
      <c r="D434">
        <v>-2.3569023569023569E-2</v>
      </c>
    </row>
    <row r="435" spans="1:4">
      <c r="A435" t="s">
        <v>438</v>
      </c>
      <c r="B435">
        <v>1.6016016016016019E-2</v>
      </c>
      <c r="C435">
        <v>5.2980132450331133E-2</v>
      </c>
      <c r="D435">
        <v>2.0689655172413789E-2</v>
      </c>
    </row>
    <row r="436" spans="1:4">
      <c r="A436" t="s">
        <v>439</v>
      </c>
      <c r="B436">
        <v>4.9261083743842374E-3</v>
      </c>
      <c r="C436">
        <v>2.0964360587002102E-3</v>
      </c>
      <c r="D436">
        <v>0</v>
      </c>
    </row>
    <row r="437" spans="1:4">
      <c r="A437" t="s">
        <v>440</v>
      </c>
      <c r="B437">
        <v>0</v>
      </c>
      <c r="C437">
        <v>1.464435146443515E-2</v>
      </c>
      <c r="D437">
        <v>-1.3513513513513511E-2</v>
      </c>
    </row>
    <row r="438" spans="1:4">
      <c r="A438" t="s">
        <v>441</v>
      </c>
      <c r="B438">
        <v>-9.8039215686274508E-3</v>
      </c>
      <c r="C438">
        <v>-1.443298969072165E-2</v>
      </c>
      <c r="D438">
        <v>-6.8493150684931503E-3</v>
      </c>
    </row>
    <row r="439" spans="1:4">
      <c r="A439" t="s">
        <v>442</v>
      </c>
      <c r="B439">
        <v>5.9405940594059403E-2</v>
      </c>
      <c r="C439">
        <v>3.1380753138075312E-2</v>
      </c>
      <c r="D439">
        <v>2.0689655172413789E-2</v>
      </c>
    </row>
    <row r="440" spans="1:4">
      <c r="A440" t="s">
        <v>443</v>
      </c>
      <c r="B440">
        <v>4.6728971962616819E-3</v>
      </c>
      <c r="C440">
        <v>1.419878296146045E-2</v>
      </c>
      <c r="D440">
        <v>-3.378378378378379E-3</v>
      </c>
    </row>
    <row r="441" spans="1:4">
      <c r="A441" t="s">
        <v>444</v>
      </c>
      <c r="B441">
        <v>-1.395348837209302E-2</v>
      </c>
      <c r="C441">
        <v>0.04</v>
      </c>
      <c r="D441">
        <v>2.033898305084746E-2</v>
      </c>
    </row>
    <row r="442" spans="1:4">
      <c r="A442" t="s">
        <v>445</v>
      </c>
      <c r="B442">
        <v>-4.716981132075472E-2</v>
      </c>
      <c r="C442">
        <v>7.6923076923076927E-3</v>
      </c>
      <c r="D442">
        <v>0</v>
      </c>
    </row>
    <row r="443" spans="1:4">
      <c r="A443" t="s">
        <v>446</v>
      </c>
      <c r="B443">
        <v>-1.4851485148514851E-2</v>
      </c>
      <c r="C443">
        <v>-1.717557251908397E-2</v>
      </c>
      <c r="D443">
        <v>-3.3222591362126251E-3</v>
      </c>
    </row>
    <row r="444" spans="1:4">
      <c r="A444" t="s">
        <v>447</v>
      </c>
      <c r="B444">
        <v>-1.206030150753769E-2</v>
      </c>
      <c r="C444">
        <v>-2.3300970873786409E-2</v>
      </c>
      <c r="D444">
        <v>6.6666666666666671E-3</v>
      </c>
    </row>
    <row r="445" spans="1:4">
      <c r="A445" t="s">
        <v>448</v>
      </c>
      <c r="B445">
        <v>-8.1383519837232958E-3</v>
      </c>
      <c r="C445">
        <v>-2.982107355864811E-2</v>
      </c>
      <c r="D445">
        <v>-3.3112582781456949E-3</v>
      </c>
    </row>
    <row r="446" spans="1:4">
      <c r="A446" t="s">
        <v>449</v>
      </c>
      <c r="B446">
        <v>-8.2051282051282051E-3</v>
      </c>
      <c r="C446">
        <v>1.2295081967213109E-2</v>
      </c>
      <c r="D446">
        <v>-2.9900332225913619E-2</v>
      </c>
    </row>
    <row r="447" spans="1:4">
      <c r="A447" t="s">
        <v>450</v>
      </c>
      <c r="B447">
        <v>1.137538779731127E-2</v>
      </c>
      <c r="C447">
        <v>4.048582995951417E-3</v>
      </c>
      <c r="D447">
        <v>3.4246575342465752E-3</v>
      </c>
    </row>
    <row r="448" spans="1:4">
      <c r="A448" t="s">
        <v>451</v>
      </c>
      <c r="B448">
        <v>-1.3292433537832309E-2</v>
      </c>
      <c r="C448">
        <v>-1.6129032258064519E-2</v>
      </c>
      <c r="D448">
        <v>-3.412969283276451E-3</v>
      </c>
    </row>
    <row r="449" spans="1:4">
      <c r="A449" t="s">
        <v>452</v>
      </c>
      <c r="B449">
        <v>1.7616580310880831E-2</v>
      </c>
      <c r="C449">
        <v>2.2540983606557381E-2</v>
      </c>
      <c r="D449">
        <v>1.0273972602739731E-2</v>
      </c>
    </row>
    <row r="450" spans="1:4">
      <c r="A450" t="s">
        <v>453</v>
      </c>
      <c r="B450">
        <v>-1.018329938900204E-2</v>
      </c>
      <c r="C450">
        <v>-1.2024048096192379E-2</v>
      </c>
      <c r="D450">
        <v>-6.7796610169491523E-3</v>
      </c>
    </row>
    <row r="451" spans="1:4">
      <c r="A451" t="s">
        <v>454</v>
      </c>
      <c r="B451">
        <v>-5.1440329218106996E-3</v>
      </c>
      <c r="C451">
        <v>1.8255578093306291E-2</v>
      </c>
      <c r="D451">
        <v>6.8259385665529011E-3</v>
      </c>
    </row>
    <row r="452" spans="1:4">
      <c r="A452" t="s">
        <v>455</v>
      </c>
      <c r="B452">
        <v>-9.3071354705274046E-3</v>
      </c>
      <c r="C452">
        <v>3.9840637450199202E-3</v>
      </c>
      <c r="D452">
        <v>-1.016949152542373E-2</v>
      </c>
    </row>
    <row r="453" spans="1:4">
      <c r="A453" t="s">
        <v>456</v>
      </c>
      <c r="B453">
        <v>-3.7578288100208773E-2</v>
      </c>
      <c r="C453">
        <v>-4.3650793650793648E-2</v>
      </c>
      <c r="D453">
        <v>-2.0547945205479451E-2</v>
      </c>
    </row>
    <row r="454" spans="1:4">
      <c r="A454" t="s">
        <v>457</v>
      </c>
      <c r="B454">
        <v>-6.5075921908893707E-3</v>
      </c>
      <c r="C454">
        <v>-2.0746887966804978E-2</v>
      </c>
      <c r="D454">
        <v>1.048951048951049E-2</v>
      </c>
    </row>
    <row r="455" spans="1:4">
      <c r="A455" t="s">
        <v>458</v>
      </c>
      <c r="B455">
        <v>-1.9650655021834058E-2</v>
      </c>
      <c r="C455">
        <v>-2.542372881355932E-2</v>
      </c>
      <c r="D455">
        <v>-2.768166089965398E-2</v>
      </c>
    </row>
    <row r="456" spans="1:4">
      <c r="A456" t="s">
        <v>459</v>
      </c>
      <c r="B456">
        <v>-4.4543429844097994E-3</v>
      </c>
      <c r="C456">
        <v>-4.3478260869565218E-3</v>
      </c>
      <c r="D456">
        <v>-7.1174377224199276E-3</v>
      </c>
    </row>
    <row r="457" spans="1:4">
      <c r="A457" t="s">
        <v>460</v>
      </c>
      <c r="B457">
        <v>6.7114093959731544E-2</v>
      </c>
      <c r="C457">
        <v>3.2751091703056769E-2</v>
      </c>
      <c r="D457">
        <v>4.3010752688172053E-2</v>
      </c>
    </row>
    <row r="458" spans="1:4">
      <c r="A458" t="s">
        <v>461</v>
      </c>
      <c r="B458">
        <v>-6.1844863731656187E-2</v>
      </c>
      <c r="C458">
        <v>-4.8625792811839333E-2</v>
      </c>
      <c r="D458">
        <v>-4.8109965635738827E-2</v>
      </c>
    </row>
    <row r="459" spans="1:4">
      <c r="A459" t="s">
        <v>462</v>
      </c>
      <c r="B459">
        <v>-2.2346368715083801E-3</v>
      </c>
      <c r="C459">
        <v>-2.222222222222222E-2</v>
      </c>
      <c r="D459">
        <v>-7.2202166064981952E-3</v>
      </c>
    </row>
    <row r="460" spans="1:4">
      <c r="A460" t="s">
        <v>463</v>
      </c>
      <c r="B460">
        <v>1.9036954087346021E-2</v>
      </c>
      <c r="C460">
        <v>-4.5454545454545452E-3</v>
      </c>
      <c r="D460">
        <v>2.9090909090909091E-2</v>
      </c>
    </row>
    <row r="461" spans="1:4">
      <c r="A461" t="s">
        <v>464</v>
      </c>
      <c r="B461">
        <v>3.8461538461538457E-2</v>
      </c>
      <c r="C461">
        <v>3.6529680365296802E-2</v>
      </c>
      <c r="D461">
        <v>1.7667844522968199E-2</v>
      </c>
    </row>
    <row r="462" spans="1:4">
      <c r="A462" t="s">
        <v>465</v>
      </c>
      <c r="B462">
        <v>-3.174603174603175E-3</v>
      </c>
      <c r="C462">
        <v>1.7621145374449341E-2</v>
      </c>
      <c r="D462">
        <v>-3.472222222222222E-3</v>
      </c>
    </row>
    <row r="463" spans="1:4">
      <c r="A463" t="s">
        <v>466</v>
      </c>
      <c r="B463">
        <v>-1.0615711252653931E-2</v>
      </c>
      <c r="C463">
        <v>-2.3809523809523812E-2</v>
      </c>
      <c r="D463">
        <v>3.4843205574912892E-3</v>
      </c>
    </row>
    <row r="464" spans="1:4">
      <c r="A464" t="s">
        <v>467</v>
      </c>
      <c r="B464">
        <v>4.3991416309012883E-2</v>
      </c>
      <c r="C464">
        <v>-1.5521064301552111E-2</v>
      </c>
      <c r="D464">
        <v>-2.0833333333333329E-2</v>
      </c>
    </row>
    <row r="465" spans="1:4">
      <c r="A465" t="s">
        <v>468</v>
      </c>
      <c r="B465">
        <v>1.644398766700925E-2</v>
      </c>
      <c r="C465">
        <v>0</v>
      </c>
      <c r="D465">
        <v>1.4184397163120571E-2</v>
      </c>
    </row>
    <row r="466" spans="1:4">
      <c r="A466" t="s">
        <v>469</v>
      </c>
      <c r="B466">
        <v>8.0889787664307385E-3</v>
      </c>
      <c r="C466">
        <v>2.2522522522522521E-2</v>
      </c>
      <c r="D466">
        <v>1.3986013986013989E-2</v>
      </c>
    </row>
    <row r="467" spans="1:4">
      <c r="A467" t="s">
        <v>470</v>
      </c>
      <c r="B467">
        <v>2.006018054162487E-3</v>
      </c>
      <c r="C467">
        <v>6.6079295154185024E-3</v>
      </c>
      <c r="D467">
        <v>-3.448275862068965E-3</v>
      </c>
    </row>
    <row r="468" spans="1:4">
      <c r="A468" t="s">
        <v>471</v>
      </c>
      <c r="B468">
        <v>-2.002002002002002E-2</v>
      </c>
      <c r="C468">
        <v>1.0940919037199121E-2</v>
      </c>
      <c r="D468">
        <v>1.038062283737024E-2</v>
      </c>
    </row>
    <row r="469" spans="1:4">
      <c r="A469" t="s">
        <v>472</v>
      </c>
      <c r="B469">
        <v>0</v>
      </c>
      <c r="C469">
        <v>4.329004329004329E-3</v>
      </c>
      <c r="D469">
        <v>2.397260273972603E-2</v>
      </c>
    </row>
    <row r="470" spans="1:4">
      <c r="A470" t="s">
        <v>473</v>
      </c>
      <c r="B470">
        <v>-8.171603677221655E-3</v>
      </c>
      <c r="C470">
        <v>1.2931034482758621E-2</v>
      </c>
      <c r="D470">
        <v>-1.003344481605351E-2</v>
      </c>
    </row>
    <row r="471" spans="1:4">
      <c r="A471" t="s">
        <v>474</v>
      </c>
      <c r="B471">
        <v>-3.089598352214212E-3</v>
      </c>
      <c r="C471">
        <v>-6.382978723404255E-3</v>
      </c>
      <c r="D471">
        <v>1.6891891891891889E-2</v>
      </c>
    </row>
    <row r="472" spans="1:4">
      <c r="A472" t="s">
        <v>475</v>
      </c>
      <c r="B472">
        <v>-2.3760330578512401E-2</v>
      </c>
      <c r="C472">
        <v>-3.2119914346895068E-2</v>
      </c>
      <c r="D472">
        <v>-2.3255813953488368E-2</v>
      </c>
    </row>
    <row r="473" spans="1:4">
      <c r="A473" t="s">
        <v>476</v>
      </c>
      <c r="B473">
        <v>-7.4074074074074077E-3</v>
      </c>
      <c r="C473">
        <v>4.4247787610619468E-3</v>
      </c>
      <c r="D473">
        <v>6.8027210884353739E-3</v>
      </c>
    </row>
    <row r="474" spans="1:4">
      <c r="A474" t="s">
        <v>477</v>
      </c>
      <c r="B474">
        <v>-1.705756929637527E-2</v>
      </c>
      <c r="C474">
        <v>-2.4229074889867839E-2</v>
      </c>
      <c r="D474">
        <v>-2.0270270270270271E-2</v>
      </c>
    </row>
    <row r="475" spans="1:4">
      <c r="A475" t="s">
        <v>478</v>
      </c>
      <c r="B475">
        <v>-2.27765726681128E-2</v>
      </c>
      <c r="C475">
        <v>-1.580135440180587E-2</v>
      </c>
      <c r="D475">
        <v>-1.03448275862069E-2</v>
      </c>
    </row>
    <row r="476" spans="1:4">
      <c r="A476" t="s">
        <v>479</v>
      </c>
      <c r="B476">
        <v>-1.2208657047724751E-2</v>
      </c>
      <c r="C476">
        <v>-6.8807339449541288E-3</v>
      </c>
      <c r="D476">
        <v>-3.4843205574912892E-3</v>
      </c>
    </row>
    <row r="477" spans="1:4">
      <c r="A477" t="s">
        <v>480</v>
      </c>
      <c r="B477">
        <v>1.1235955056179781E-3</v>
      </c>
      <c r="C477">
        <v>-2.3094688221709011E-3</v>
      </c>
      <c r="D477">
        <v>0</v>
      </c>
    </row>
    <row r="478" spans="1:4">
      <c r="A478" t="s">
        <v>481</v>
      </c>
      <c r="B478">
        <v>2.2446689113355778E-2</v>
      </c>
      <c r="C478">
        <v>2.5462962962962962E-2</v>
      </c>
      <c r="D478">
        <v>0</v>
      </c>
    </row>
    <row r="479" spans="1:4">
      <c r="A479" t="s">
        <v>482</v>
      </c>
      <c r="B479">
        <v>4.6103183315038418E-2</v>
      </c>
      <c r="C479">
        <v>1.1286681715575619E-2</v>
      </c>
      <c r="D479">
        <v>2.4475524475524479E-2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9"/>
  <dimension ref="A1:F479"/>
  <sheetViews>
    <sheetView workbookViewId="0"/>
  </sheetViews>
  <sheetFormatPr baseColWidth="10" defaultColWidth="9" defaultRowHeight="14"/>
  <sheetData>
    <row r="1" spans="1:6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</row>
    <row r="2" spans="1:6">
      <c r="A2" t="s">
        <v>5</v>
      </c>
      <c r="C2">
        <v>0</v>
      </c>
      <c r="D2">
        <v>0</v>
      </c>
      <c r="E2">
        <v>0</v>
      </c>
      <c r="F2">
        <v>0</v>
      </c>
    </row>
    <row r="3" spans="1:6">
      <c r="A3" t="s">
        <v>6</v>
      </c>
      <c r="C3">
        <v>-3.8589836362823372E-4</v>
      </c>
      <c r="D3">
        <v>2.8874490645894079E-3</v>
      </c>
      <c r="E3">
        <v>-2.226507406488987E-3</v>
      </c>
      <c r="F3">
        <v>2.7504329447218707E-4</v>
      </c>
    </row>
    <row r="4" spans="1:6">
      <c r="A4" t="s">
        <v>7</v>
      </c>
      <c r="C4">
        <v>0</v>
      </c>
      <c r="D4">
        <v>-5.7859831470938117E-3</v>
      </c>
      <c r="E4">
        <v>-6.0806096204212012E-4</v>
      </c>
      <c r="F4">
        <v>-6.3940441091359318E-3</v>
      </c>
    </row>
    <row r="5" spans="1:6">
      <c r="A5" t="s">
        <v>8</v>
      </c>
      <c r="C5">
        <v>-1.9456359937817841E-3</v>
      </c>
      <c r="D5">
        <v>1.0190629844137459E-2</v>
      </c>
      <c r="E5">
        <v>-8.7424850067871409E-5</v>
      </c>
      <c r="F5">
        <v>8.1575690002878062E-3</v>
      </c>
    </row>
    <row r="6" spans="1:6">
      <c r="A6" t="s">
        <v>9</v>
      </c>
      <c r="C6">
        <v>-3.8597855208509171E-4</v>
      </c>
      <c r="D6">
        <v>4.3320736010299E-3</v>
      </c>
      <c r="E6">
        <v>6.9373957211521151E-4</v>
      </c>
      <c r="F6">
        <v>4.6398346210600201E-3</v>
      </c>
    </row>
    <row r="7" spans="1:6">
      <c r="A7" t="s">
        <v>10</v>
      </c>
      <c r="C7">
        <v>-7.6839189286313509E-4</v>
      </c>
      <c r="D7">
        <v>-2.874710884266907E-3</v>
      </c>
      <c r="E7">
        <v>-3.4526780056301612E-4</v>
      </c>
      <c r="F7">
        <v>-3.9883705776930581E-3</v>
      </c>
    </row>
    <row r="8" spans="1:6">
      <c r="A8" t="s">
        <v>11</v>
      </c>
      <c r="C8">
        <v>3.8573439815597687E-4</v>
      </c>
      <c r="D8">
        <v>2.8862222080019862E-3</v>
      </c>
      <c r="E8">
        <v>-3.466503707022715E-4</v>
      </c>
      <c r="F8">
        <v>2.9253062354556922E-3</v>
      </c>
    </row>
    <row r="9" spans="1:6">
      <c r="A9" t="s">
        <v>12</v>
      </c>
      <c r="C9">
        <v>0</v>
      </c>
      <c r="D9">
        <v>-2.8778037507455122E-3</v>
      </c>
      <c r="E9">
        <v>5.1845890498582463E-4</v>
      </c>
      <c r="F9">
        <v>-2.3593448457596869E-3</v>
      </c>
    </row>
    <row r="10" spans="1:6">
      <c r="A10" t="s">
        <v>13</v>
      </c>
      <c r="C10">
        <v>-3.8551887013700401E-4</v>
      </c>
      <c r="D10">
        <v>2.884609539394312E-3</v>
      </c>
      <c r="E10">
        <v>-3.464566807746145E-4</v>
      </c>
      <c r="F10">
        <v>2.152633988482693E-3</v>
      </c>
    </row>
    <row r="11" spans="1:6">
      <c r="A11" t="s">
        <v>14</v>
      </c>
      <c r="C11">
        <v>0</v>
      </c>
      <c r="D11">
        <v>-8.6352401068302623E-3</v>
      </c>
      <c r="E11">
        <v>-2.3335592961735651E-3</v>
      </c>
      <c r="F11">
        <v>-1.096879940300383E-2</v>
      </c>
    </row>
    <row r="12" spans="1:6">
      <c r="A12" t="s">
        <v>15</v>
      </c>
      <c r="C12">
        <v>-1.0890800615074539E-3</v>
      </c>
      <c r="D12">
        <v>1.455168131807147E-3</v>
      </c>
      <c r="E12">
        <v>-1.3981863792096E-3</v>
      </c>
      <c r="F12">
        <v>-1.0320983089099069E-3</v>
      </c>
    </row>
    <row r="13" spans="1:6">
      <c r="A13" t="s">
        <v>16</v>
      </c>
      <c r="C13">
        <v>1.012333456190828E-3</v>
      </c>
      <c r="D13">
        <v>1.019670092042646E-2</v>
      </c>
      <c r="E13">
        <v>1.5745848029231329E-3</v>
      </c>
      <c r="F13">
        <v>1.278361917954042E-2</v>
      </c>
    </row>
    <row r="14" spans="1:6">
      <c r="A14" t="s">
        <v>17</v>
      </c>
      <c r="C14">
        <v>4.613333165012335E-4</v>
      </c>
      <c r="D14">
        <v>5.4654832714570507E-2</v>
      </c>
      <c r="E14">
        <v>1.9865738666188979E-3</v>
      </c>
      <c r="F14">
        <v>5.7102739897690651E-2</v>
      </c>
    </row>
    <row r="15" spans="1:6">
      <c r="A15" t="s">
        <v>18</v>
      </c>
      <c r="C15">
        <v>-4.3641294179776939E-4</v>
      </c>
      <c r="D15">
        <v>0</v>
      </c>
      <c r="E15">
        <v>1.634141574883756E-4</v>
      </c>
      <c r="F15">
        <v>-2.7299878430939379E-4</v>
      </c>
    </row>
    <row r="16" spans="1:6">
      <c r="A16" t="s">
        <v>19</v>
      </c>
      <c r="C16">
        <v>8.0030887664631046E-4</v>
      </c>
      <c r="D16">
        <v>2.7219262129120261E-3</v>
      </c>
      <c r="E16">
        <v>-8.990232984536098E-4</v>
      </c>
      <c r="F16">
        <v>2.6232117911047259E-3</v>
      </c>
    </row>
    <row r="17" spans="1:6">
      <c r="A17" t="s">
        <v>20</v>
      </c>
      <c r="C17">
        <v>-3.6282499530616651E-4</v>
      </c>
      <c r="D17">
        <v>-1.357402352599401E-3</v>
      </c>
      <c r="E17">
        <v>2.0378889548773528E-3</v>
      </c>
      <c r="F17">
        <v>3.1766160697178572E-4</v>
      </c>
    </row>
    <row r="18" spans="1:6">
      <c r="A18" t="s">
        <v>21</v>
      </c>
      <c r="C18">
        <v>1.0881293290072539E-3</v>
      </c>
      <c r="D18">
        <v>2.0354569423758639E-2</v>
      </c>
      <c r="E18">
        <v>5.7042770438442284E-4</v>
      </c>
      <c r="F18">
        <v>2.2013126457150319E-2</v>
      </c>
    </row>
    <row r="19" spans="1:6">
      <c r="A19" t="s">
        <v>22</v>
      </c>
      <c r="C19">
        <v>3.5489737552892243E-4</v>
      </c>
      <c r="D19">
        <v>2.655487018295427E-3</v>
      </c>
      <c r="E19">
        <v>-5.5814127002637762E-4</v>
      </c>
      <c r="F19">
        <v>2.4522431237979721E-3</v>
      </c>
    </row>
    <row r="20" spans="1:6">
      <c r="A20" t="s">
        <v>23</v>
      </c>
      <c r="C20">
        <v>0</v>
      </c>
      <c r="D20">
        <v>5.2979820964248903E-3</v>
      </c>
      <c r="E20">
        <v>1.5907883431565839E-4</v>
      </c>
      <c r="F20">
        <v>5.4570609307405494E-3</v>
      </c>
    </row>
    <row r="21" spans="1:6">
      <c r="A21" t="s">
        <v>24</v>
      </c>
      <c r="C21">
        <v>-3.5210773646142938E-4</v>
      </c>
      <c r="D21">
        <v>-7.9038414005277464E-3</v>
      </c>
      <c r="E21">
        <v>1.9776930375375859E-3</v>
      </c>
      <c r="F21">
        <v>-6.2782560994515896E-3</v>
      </c>
    </row>
    <row r="22" spans="1:6">
      <c r="A22" t="s">
        <v>25</v>
      </c>
      <c r="C22">
        <v>3.5433232554551861E-4</v>
      </c>
      <c r="D22">
        <v>-1.8558813585825201E-2</v>
      </c>
      <c r="E22">
        <v>2.3882255365870471E-4</v>
      </c>
      <c r="F22">
        <v>-1.7965658706620979E-2</v>
      </c>
    </row>
    <row r="23" spans="1:6">
      <c r="A23" t="s">
        <v>26</v>
      </c>
      <c r="C23">
        <v>3.60814597459849E-4</v>
      </c>
      <c r="D23">
        <v>0</v>
      </c>
      <c r="E23">
        <v>-2.9182998225194328E-3</v>
      </c>
      <c r="F23">
        <v>-2.5574852250595838E-3</v>
      </c>
    </row>
    <row r="24" spans="1:6">
      <c r="A24" t="s">
        <v>27</v>
      </c>
      <c r="C24">
        <v>-7.23479483008125E-4</v>
      </c>
      <c r="D24">
        <v>9.4733953765334094E-3</v>
      </c>
      <c r="E24">
        <v>4.8763041132549349E-4</v>
      </c>
      <c r="F24">
        <v>9.2375463048507776E-3</v>
      </c>
    </row>
    <row r="25" spans="1:6">
      <c r="A25" t="s">
        <v>28</v>
      </c>
      <c r="C25">
        <v>-3.5842873942661991E-4</v>
      </c>
      <c r="D25">
        <v>1.475050568384941E-2</v>
      </c>
      <c r="E25">
        <v>8.0527855427573079E-5</v>
      </c>
      <c r="F25">
        <v>1.447260479985036E-2</v>
      </c>
    </row>
    <row r="26" spans="1:6">
      <c r="A26" t="s">
        <v>29</v>
      </c>
      <c r="C26">
        <v>-3.5331534605346571E-4</v>
      </c>
      <c r="D26">
        <v>6.7413065515029083E-2</v>
      </c>
      <c r="E26">
        <v>2.7782661913488792E-3</v>
      </c>
      <c r="F26">
        <v>6.9838016360324495E-2</v>
      </c>
    </row>
    <row r="27" spans="1:6">
      <c r="A27" t="s">
        <v>30</v>
      </c>
      <c r="C27">
        <v>3.3025125360143119E-4</v>
      </c>
      <c r="D27">
        <v>-1.7297522721467559E-2</v>
      </c>
      <c r="E27">
        <v>-1.483944911746421E-4</v>
      </c>
      <c r="F27">
        <v>-1.7115665959040769E-2</v>
      </c>
    </row>
    <row r="28" spans="1:6">
      <c r="A28" t="s">
        <v>31</v>
      </c>
      <c r="C28">
        <v>1.0080064627044981E-3</v>
      </c>
      <c r="D28">
        <v>-6.2852631507920387E-3</v>
      </c>
      <c r="E28">
        <v>-5.2842506602572786E-4</v>
      </c>
      <c r="F28">
        <v>-5.8056817541132684E-3</v>
      </c>
    </row>
    <row r="29" spans="1:6">
      <c r="A29" t="s">
        <v>32</v>
      </c>
      <c r="C29">
        <v>3.3796426721454249E-4</v>
      </c>
      <c r="D29">
        <v>1.137953965718359E-2</v>
      </c>
      <c r="E29">
        <v>1.4426723040569459E-3</v>
      </c>
      <c r="F29">
        <v>1.316017622845508E-2</v>
      </c>
    </row>
    <row r="30" spans="1:6">
      <c r="A30" t="s">
        <v>33</v>
      </c>
      <c r="C30">
        <v>-3.3357436972368299E-4</v>
      </c>
      <c r="D30">
        <v>-7.4878187570462636E-3</v>
      </c>
      <c r="E30">
        <v>-7.4943847031975881E-5</v>
      </c>
      <c r="F30">
        <v>-7.8963369738019231E-3</v>
      </c>
    </row>
    <row r="31" spans="1:6">
      <c r="A31" t="s">
        <v>34</v>
      </c>
      <c r="C31">
        <v>3.3622934997154058E-4</v>
      </c>
      <c r="D31">
        <v>1.383692877352977E-2</v>
      </c>
      <c r="E31">
        <v>2.568371526131433E-3</v>
      </c>
      <c r="F31">
        <v>1.6741529649632741E-2</v>
      </c>
    </row>
    <row r="32" spans="1:6">
      <c r="A32" t="s">
        <v>35</v>
      </c>
      <c r="C32">
        <v>-3.306930425940256E-4</v>
      </c>
      <c r="D32">
        <v>6.1859508001453657E-3</v>
      </c>
      <c r="E32">
        <v>6.3152026627074252E-3</v>
      </c>
      <c r="F32">
        <v>1.217046042025877E-2</v>
      </c>
    </row>
    <row r="33" spans="1:6">
      <c r="A33" t="s">
        <v>36</v>
      </c>
      <c r="C33">
        <v>3.2671674932769718E-4</v>
      </c>
      <c r="D33">
        <v>1.222314035439628E-3</v>
      </c>
      <c r="E33">
        <v>1.101047276414637E-3</v>
      </c>
      <c r="F33">
        <v>2.650078061181962E-3</v>
      </c>
    </row>
    <row r="34" spans="1:6">
      <c r="A34" t="s">
        <v>37</v>
      </c>
      <c r="C34">
        <v>0</v>
      </c>
      <c r="D34">
        <v>0</v>
      </c>
      <c r="E34">
        <v>0</v>
      </c>
      <c r="F34">
        <v>0</v>
      </c>
    </row>
    <row r="35" spans="1:6">
      <c r="A35" t="s">
        <v>38</v>
      </c>
      <c r="C35">
        <v>-3.2585321287708599E-4</v>
      </c>
      <c r="D35">
        <v>-9.7526669547821441E-3</v>
      </c>
      <c r="E35">
        <v>1.8302285455089921E-3</v>
      </c>
      <c r="F35">
        <v>-8.2482916221502389E-3</v>
      </c>
    </row>
    <row r="36" spans="1:6">
      <c r="A36" t="s">
        <v>39</v>
      </c>
      <c r="C36">
        <v>-6.5712659756354743E-4</v>
      </c>
      <c r="D36">
        <v>-1.229222353790296E-3</v>
      </c>
      <c r="E36">
        <v>-2.5836305015331171E-3</v>
      </c>
      <c r="F36">
        <v>-4.4699794528869604E-3</v>
      </c>
    </row>
    <row r="37" spans="1:6">
      <c r="A37" t="s">
        <v>40</v>
      </c>
      <c r="C37">
        <v>2.970347079449044E-3</v>
      </c>
      <c r="D37">
        <v>4.4450698445167032E-2</v>
      </c>
      <c r="E37">
        <v>3.336725740327476E-3</v>
      </c>
      <c r="F37">
        <v>5.0757771264943553E-2</v>
      </c>
    </row>
    <row r="38" spans="1:6">
      <c r="A38" t="s">
        <v>41</v>
      </c>
      <c r="C38">
        <v>0</v>
      </c>
      <c r="D38">
        <v>5.8754817582287863E-3</v>
      </c>
      <c r="E38">
        <v>3.5283803234166002E-4</v>
      </c>
      <c r="F38">
        <v>6.2283197905704463E-3</v>
      </c>
    </row>
    <row r="39" spans="1:6">
      <c r="A39" t="s">
        <v>42</v>
      </c>
      <c r="C39">
        <v>0</v>
      </c>
      <c r="D39">
        <v>5.8391138896306052E-3</v>
      </c>
      <c r="E39">
        <v>2.4545783276162221E-3</v>
      </c>
      <c r="F39">
        <v>8.2936922172468265E-3</v>
      </c>
    </row>
    <row r="40" spans="1:6">
      <c r="A40" t="s">
        <v>43</v>
      </c>
      <c r="C40">
        <v>6.1916797851594254E-4</v>
      </c>
      <c r="D40">
        <v>2.895542208932371E-2</v>
      </c>
      <c r="E40">
        <v>2.7821580121658879E-3</v>
      </c>
      <c r="F40">
        <v>3.2356748080005528E-2</v>
      </c>
    </row>
    <row r="41" spans="1:6">
      <c r="A41" t="s">
        <v>44</v>
      </c>
      <c r="C41">
        <v>-1.4994041053818881E-3</v>
      </c>
      <c r="D41">
        <v>2.6925968428499609E-2</v>
      </c>
      <c r="E41">
        <v>0</v>
      </c>
      <c r="F41">
        <v>2.5426564323117729E-2</v>
      </c>
    </row>
    <row r="42" spans="1:6">
      <c r="A42" t="s">
        <v>45</v>
      </c>
      <c r="C42">
        <v>2.6320045565319992E-3</v>
      </c>
      <c r="D42">
        <v>-1.969373236854367E-2</v>
      </c>
      <c r="E42">
        <v>-3.2851669135463521E-4</v>
      </c>
      <c r="F42">
        <v>-1.739024450336631E-2</v>
      </c>
    </row>
    <row r="43" spans="1:6">
      <c r="A43" t="s">
        <v>46</v>
      </c>
      <c r="C43">
        <v>5.6547922842282543E-3</v>
      </c>
      <c r="D43">
        <v>4.4538383079410363E-3</v>
      </c>
      <c r="E43">
        <v>-6.6866157091753121E-4</v>
      </c>
      <c r="F43">
        <v>9.4399690212517585E-3</v>
      </c>
    </row>
    <row r="44" spans="1:6">
      <c r="A44" t="s">
        <v>47</v>
      </c>
      <c r="C44">
        <v>8.8451217211133642E-4</v>
      </c>
      <c r="D44">
        <v>9.9274216401236594E-3</v>
      </c>
      <c r="E44">
        <v>0</v>
      </c>
      <c r="F44">
        <v>1.0811933812235001E-2</v>
      </c>
    </row>
    <row r="45" spans="1:6">
      <c r="A45" t="s">
        <v>48</v>
      </c>
      <c r="C45">
        <v>2.9168372556882252E-4</v>
      </c>
      <c r="D45">
        <v>5.4562417201711004E-3</v>
      </c>
      <c r="E45">
        <v>-4.2596004434499414E-3</v>
      </c>
      <c r="F45">
        <v>1.4883250022899809E-3</v>
      </c>
    </row>
    <row r="46" spans="1:6">
      <c r="A46" t="s">
        <v>49</v>
      </c>
      <c r="C46">
        <v>6.4075055118584853E-3</v>
      </c>
      <c r="D46">
        <v>-3.3778425390014861E-2</v>
      </c>
      <c r="E46">
        <v>-9.8152389117164124E-4</v>
      </c>
      <c r="F46">
        <v>-2.8352443769328019E-2</v>
      </c>
    </row>
    <row r="47" spans="1:6">
      <c r="A47" t="s">
        <v>50</v>
      </c>
      <c r="C47">
        <v>2.397990906652399E-3</v>
      </c>
      <c r="D47">
        <v>1.233563837367628E-2</v>
      </c>
      <c r="E47">
        <v>2.357050556086742E-3</v>
      </c>
      <c r="F47">
        <v>1.7090679836415421E-2</v>
      </c>
    </row>
    <row r="48" spans="1:6">
      <c r="A48" t="s">
        <v>51</v>
      </c>
      <c r="C48">
        <v>0</v>
      </c>
      <c r="D48">
        <v>-2.2035572500070581E-3</v>
      </c>
      <c r="E48">
        <v>-1.3293834495334549E-3</v>
      </c>
      <c r="F48">
        <v>-3.5329406995405128E-3</v>
      </c>
    </row>
    <row r="49" spans="1:6">
      <c r="A49" t="s">
        <v>52</v>
      </c>
      <c r="C49">
        <v>1.1876104440316959E-3</v>
      </c>
      <c r="D49">
        <v>-4.4227397773770874E-3</v>
      </c>
      <c r="E49">
        <v>-1.3340967341827731E-3</v>
      </c>
      <c r="F49">
        <v>-4.5692260675281654E-3</v>
      </c>
    </row>
    <row r="50" spans="1:6">
      <c r="A50" t="s">
        <v>53</v>
      </c>
      <c r="C50">
        <v>2.6843890796293458E-3</v>
      </c>
      <c r="D50">
        <v>2.887976673594508E-2</v>
      </c>
      <c r="E50">
        <v>6.7011025232442505E-4</v>
      </c>
      <c r="F50">
        <v>3.2234266067898851E-2</v>
      </c>
    </row>
    <row r="51" spans="1:6">
      <c r="A51" t="s">
        <v>54</v>
      </c>
      <c r="C51">
        <v>1.733707917457548E-3</v>
      </c>
      <c r="D51">
        <v>1.076073809587858E-3</v>
      </c>
      <c r="E51">
        <v>-9.7377641057744095E-4</v>
      </c>
      <c r="F51">
        <v>1.836005316467965E-3</v>
      </c>
    </row>
    <row r="52" spans="1:6">
      <c r="A52" t="s">
        <v>55</v>
      </c>
      <c r="C52">
        <v>0</v>
      </c>
      <c r="D52">
        <v>-5.3705087652940742E-3</v>
      </c>
      <c r="E52">
        <v>-3.2399727613763708E-4</v>
      </c>
      <c r="F52">
        <v>-5.6945060414317116E-3</v>
      </c>
    </row>
    <row r="53" spans="1:6">
      <c r="A53" t="s">
        <v>56</v>
      </c>
      <c r="C53">
        <v>-2.0305152107742662E-3</v>
      </c>
      <c r="D53">
        <v>2.1605065235686441E-3</v>
      </c>
      <c r="E53">
        <v>6.5170569428863638E-4</v>
      </c>
      <c r="F53">
        <v>7.8169700708301433E-4</v>
      </c>
    </row>
    <row r="54" spans="1:6">
      <c r="A54" t="s">
        <v>57</v>
      </c>
      <c r="C54">
        <v>3.7680113767934562E-3</v>
      </c>
      <c r="D54">
        <v>-3.2382284718482711E-3</v>
      </c>
      <c r="E54">
        <v>2.27918829534118E-3</v>
      </c>
      <c r="F54">
        <v>2.8089712002863651E-3</v>
      </c>
    </row>
    <row r="55" spans="1:6">
      <c r="A55" t="s">
        <v>58</v>
      </c>
      <c r="C55">
        <v>4.0464919264938557E-3</v>
      </c>
      <c r="D55">
        <v>-1.0763859534723939E-2</v>
      </c>
      <c r="E55">
        <v>-3.2468629345843049E-4</v>
      </c>
      <c r="F55">
        <v>-7.0420539016885107E-3</v>
      </c>
    </row>
    <row r="56" spans="1:6">
      <c r="A56" t="s">
        <v>59</v>
      </c>
      <c r="C56">
        <v>-3.201934710494736E-3</v>
      </c>
      <c r="D56">
        <v>1.084019678478732E-2</v>
      </c>
      <c r="E56">
        <v>2.2889227717444401E-3</v>
      </c>
      <c r="F56">
        <v>9.927184846037022E-3</v>
      </c>
    </row>
    <row r="57" spans="1:6">
      <c r="A57" t="s">
        <v>60</v>
      </c>
      <c r="C57">
        <v>2.8822372350113091E-4</v>
      </c>
      <c r="D57">
        <v>-9.660277743484956E-3</v>
      </c>
      <c r="E57">
        <v>-2.2664235660647021E-3</v>
      </c>
      <c r="F57">
        <v>-1.163847758604853E-2</v>
      </c>
    </row>
    <row r="58" spans="1:6">
      <c r="A58" t="s">
        <v>61</v>
      </c>
      <c r="C58">
        <v>4.9575010645417049E-3</v>
      </c>
      <c r="D58">
        <v>2.1720072450796959E-2</v>
      </c>
      <c r="E58">
        <v>3.2758741392655601E-4</v>
      </c>
      <c r="F58">
        <v>2.7005160929265221E-2</v>
      </c>
    </row>
    <row r="59" spans="1:6">
      <c r="A59" t="s">
        <v>62</v>
      </c>
      <c r="C59">
        <v>0</v>
      </c>
      <c r="D59">
        <v>-1.057447093602918E-2</v>
      </c>
      <c r="E59">
        <v>-3.1897348366793509E-4</v>
      </c>
      <c r="F59">
        <v>-1.0893444419697111E-2</v>
      </c>
    </row>
    <row r="60" spans="1:6">
      <c r="A60" t="s">
        <v>63</v>
      </c>
      <c r="C60">
        <v>-5.7415372145851954E-4</v>
      </c>
      <c r="D60">
        <v>3.2072796029013872E-3</v>
      </c>
      <c r="E60">
        <v>-6.4497294425633496E-4</v>
      </c>
      <c r="F60">
        <v>1.9881529371865319E-3</v>
      </c>
    </row>
    <row r="61" spans="1:6">
      <c r="A61" t="s">
        <v>64</v>
      </c>
      <c r="C61">
        <v>0</v>
      </c>
      <c r="D61">
        <v>3.8410988315576787E-2</v>
      </c>
      <c r="E61">
        <v>6.4369318376239081E-4</v>
      </c>
      <c r="F61">
        <v>3.9054681499339168E-2</v>
      </c>
    </row>
    <row r="62" spans="1:6">
      <c r="A62" t="s">
        <v>65</v>
      </c>
      <c r="C62">
        <v>-1.930168565073515E-3</v>
      </c>
      <c r="D62">
        <v>-4.1074715956826739E-3</v>
      </c>
      <c r="E62">
        <v>2.1682459867438659E-3</v>
      </c>
      <c r="F62">
        <v>-3.8693941740123232E-3</v>
      </c>
    </row>
    <row r="63" spans="1:6">
      <c r="A63" t="s">
        <v>66</v>
      </c>
      <c r="C63">
        <v>-2.491285061855811E-3</v>
      </c>
      <c r="D63">
        <v>5.1542834489519251E-3</v>
      </c>
      <c r="E63">
        <v>3.1095262495308242E-4</v>
      </c>
      <c r="F63">
        <v>2.973951012049197E-3</v>
      </c>
    </row>
    <row r="64" spans="1:6">
      <c r="A64" t="s">
        <v>67</v>
      </c>
      <c r="C64">
        <v>2.7598867451941131E-4</v>
      </c>
      <c r="D64">
        <v>-2.0556001255071501E-3</v>
      </c>
      <c r="E64">
        <v>-1.240122436437422E-3</v>
      </c>
      <c r="F64">
        <v>-3.01973388742516E-3</v>
      </c>
    </row>
    <row r="65" spans="1:6">
      <c r="A65" t="s">
        <v>68</v>
      </c>
      <c r="C65">
        <v>-2.4914215006079472E-3</v>
      </c>
      <c r="D65">
        <v>-1.237095775339072E-2</v>
      </c>
      <c r="E65">
        <v>-4.3535751659911723E-3</v>
      </c>
      <c r="F65">
        <v>-1.9215954419989831E-2</v>
      </c>
    </row>
    <row r="66" spans="1:6">
      <c r="A66" t="s">
        <v>69</v>
      </c>
      <c r="C66">
        <v>-2.822482812869921E-3</v>
      </c>
      <c r="D66">
        <v>-1.8920002536452641E-2</v>
      </c>
      <c r="E66">
        <v>-3.487685405636176E-3</v>
      </c>
      <c r="F66">
        <v>-2.5230170754958741E-2</v>
      </c>
    </row>
    <row r="67" spans="1:6">
      <c r="A67" t="s">
        <v>70</v>
      </c>
      <c r="C67">
        <v>3.185091496483355E-3</v>
      </c>
      <c r="D67">
        <v>1.7253078139921201E-2</v>
      </c>
      <c r="E67">
        <v>-3.2526889947840639E-4</v>
      </c>
      <c r="F67">
        <v>2.0112900736926159E-2</v>
      </c>
    </row>
    <row r="68" spans="1:6">
      <c r="A68" t="s">
        <v>71</v>
      </c>
      <c r="C68">
        <v>8.5153448857985716E-4</v>
      </c>
      <c r="D68">
        <v>0</v>
      </c>
      <c r="E68">
        <v>0</v>
      </c>
      <c r="F68">
        <v>8.5153448857985716E-4</v>
      </c>
    </row>
    <row r="69" spans="1:6">
      <c r="A69" t="s">
        <v>72</v>
      </c>
      <c r="C69">
        <v>-2.8360333150876322E-3</v>
      </c>
      <c r="D69">
        <v>-5.7032507624408819E-2</v>
      </c>
      <c r="E69">
        <v>-3.631863289081778E-3</v>
      </c>
      <c r="F69">
        <v>-6.3500404228578222E-2</v>
      </c>
    </row>
    <row r="70" spans="1:6">
      <c r="A70" t="s">
        <v>73</v>
      </c>
      <c r="C70">
        <v>0</v>
      </c>
      <c r="D70">
        <v>-9.0221719549610762E-3</v>
      </c>
      <c r="E70">
        <v>-1.837006980671576E-3</v>
      </c>
      <c r="F70">
        <v>-1.085917893563265E-2</v>
      </c>
    </row>
    <row r="71" spans="1:6">
      <c r="A71" t="s">
        <v>74</v>
      </c>
      <c r="C71">
        <v>6.1231599518789823E-4</v>
      </c>
      <c r="D71">
        <v>1.368183138764723E-2</v>
      </c>
      <c r="E71">
        <v>4.1270541543650212E-4</v>
      </c>
      <c r="F71">
        <v>1.4706852798271631E-2</v>
      </c>
    </row>
    <row r="72" spans="1:6">
      <c r="A72" t="s">
        <v>75</v>
      </c>
      <c r="C72">
        <v>7.2412952785246964E-3</v>
      </c>
      <c r="D72">
        <v>3.2585200112030942E-2</v>
      </c>
      <c r="E72">
        <v>2.5759173274754799E-3</v>
      </c>
      <c r="F72">
        <v>4.2402412718031121E-2</v>
      </c>
    </row>
    <row r="73" spans="1:6">
      <c r="A73" t="s">
        <v>76</v>
      </c>
      <c r="C73">
        <v>-2.6050263279477821E-3</v>
      </c>
      <c r="D73">
        <v>-1.8324659266073219E-2</v>
      </c>
      <c r="E73">
        <v>-1.88586636088696E-3</v>
      </c>
      <c r="F73">
        <v>-2.2815551954907962E-2</v>
      </c>
    </row>
    <row r="74" spans="1:6">
      <c r="A74" t="s">
        <v>77</v>
      </c>
      <c r="C74">
        <v>2.073438225973829E-3</v>
      </c>
      <c r="D74">
        <v>1.7649419377557419E-2</v>
      </c>
      <c r="E74">
        <v>1.5971570069934469E-3</v>
      </c>
      <c r="F74">
        <v>2.1320014610524698E-2</v>
      </c>
    </row>
    <row r="75" spans="1:6">
      <c r="A75" t="s">
        <v>78</v>
      </c>
      <c r="C75">
        <v>2.0301552856227178E-3</v>
      </c>
      <c r="D75">
        <v>1.4040803116674411E-2</v>
      </c>
      <c r="E75">
        <v>6.5159017421297441E-4</v>
      </c>
      <c r="F75">
        <v>1.67225485765101E-2</v>
      </c>
    </row>
    <row r="76" spans="1:6">
      <c r="A76" t="s">
        <v>79</v>
      </c>
      <c r="C76">
        <v>-1.426260212613764E-3</v>
      </c>
      <c r="D76">
        <v>-5.3114872868605754E-3</v>
      </c>
      <c r="E76">
        <v>-1.4740082265196899E-3</v>
      </c>
      <c r="F76">
        <v>-8.2117557259940299E-3</v>
      </c>
    </row>
    <row r="77" spans="1:6">
      <c r="A77" t="s">
        <v>80</v>
      </c>
      <c r="C77">
        <v>-1.1504554290479971E-3</v>
      </c>
      <c r="D77">
        <v>-1.9279674207769021E-2</v>
      </c>
      <c r="E77">
        <v>5.169435275443943E-4</v>
      </c>
      <c r="F77">
        <v>-1.9913186109272622E-2</v>
      </c>
    </row>
    <row r="78" spans="1:6">
      <c r="A78" t="s">
        <v>81</v>
      </c>
      <c r="C78">
        <v>1.173830126824117E-3</v>
      </c>
      <c r="D78">
        <v>8.7428419308344437E-3</v>
      </c>
      <c r="E78">
        <v>2.6372333563607648E-3</v>
      </c>
      <c r="F78">
        <v>1.2553905414019319E-2</v>
      </c>
    </row>
    <row r="79" spans="1:6">
      <c r="A79" t="s">
        <v>82</v>
      </c>
      <c r="C79">
        <v>6.6658408931610262E-3</v>
      </c>
      <c r="D79">
        <v>6.4758344351501101E-3</v>
      </c>
      <c r="E79">
        <v>-3.2556703182168322E-4</v>
      </c>
      <c r="F79">
        <v>1.2816108296489451E-2</v>
      </c>
    </row>
    <row r="80" spans="1:6">
      <c r="A80" t="s">
        <v>83</v>
      </c>
      <c r="C80">
        <v>1.1446072663884989E-3</v>
      </c>
      <c r="D80">
        <v>1.4919075856819061E-2</v>
      </c>
      <c r="E80">
        <v>6.4289465610745881E-4</v>
      </c>
      <c r="F80">
        <v>1.6706577779315009E-2</v>
      </c>
    </row>
    <row r="81" spans="1:6">
      <c r="A81" t="s">
        <v>84</v>
      </c>
      <c r="C81">
        <v>0</v>
      </c>
      <c r="D81">
        <v>2.0962749701386981E-3</v>
      </c>
      <c r="E81">
        <v>3.1616528807734581E-3</v>
      </c>
      <c r="F81">
        <v>5.2579278509121558E-3</v>
      </c>
    </row>
    <row r="82" spans="1:6">
      <c r="A82" t="s">
        <v>85</v>
      </c>
      <c r="C82">
        <v>5.5995530417994697E-4</v>
      </c>
      <c r="D82">
        <v>-6.2559316730390153E-3</v>
      </c>
      <c r="E82">
        <v>0</v>
      </c>
      <c r="F82">
        <v>-5.6959763688590676E-3</v>
      </c>
    </row>
    <row r="83" spans="1:6">
      <c r="A83" t="s">
        <v>86</v>
      </c>
      <c r="C83">
        <v>-5.6316306770541136E-4</v>
      </c>
      <c r="D83">
        <v>6.2917694431052539E-3</v>
      </c>
      <c r="E83">
        <v>0</v>
      </c>
      <c r="F83">
        <v>5.7286063753998421E-3</v>
      </c>
    </row>
    <row r="84" spans="1:6">
      <c r="A84" t="s">
        <v>87</v>
      </c>
      <c r="C84">
        <v>0</v>
      </c>
      <c r="D84">
        <v>1.7725139740277219E-2</v>
      </c>
      <c r="E84">
        <v>1.2580464349214689E-3</v>
      </c>
      <c r="F84">
        <v>1.8983186175198681E-2</v>
      </c>
    </row>
    <row r="85" spans="1:6">
      <c r="A85" t="s">
        <v>88</v>
      </c>
      <c r="C85">
        <v>1.373808988649179E-3</v>
      </c>
      <c r="D85">
        <v>6.1393865550627494E-3</v>
      </c>
      <c r="E85">
        <v>2.4692192216509579E-3</v>
      </c>
      <c r="F85">
        <v>9.9824147653628861E-3</v>
      </c>
    </row>
    <row r="86" spans="1:6">
      <c r="A86" t="s">
        <v>89</v>
      </c>
      <c r="C86">
        <v>-8.1613836155850676E-4</v>
      </c>
      <c r="D86">
        <v>1.4183648235572921E-2</v>
      </c>
      <c r="E86">
        <v>0</v>
      </c>
      <c r="F86">
        <v>1.3367509874014411E-2</v>
      </c>
    </row>
    <row r="87" spans="1:6">
      <c r="A87" t="s">
        <v>90</v>
      </c>
      <c r="C87">
        <v>5.3691502415214405E-4</v>
      </c>
      <c r="D87">
        <v>1.9995070322282298E-3</v>
      </c>
      <c r="E87">
        <v>2.1109935867368729E-3</v>
      </c>
      <c r="F87">
        <v>4.6474156431172472E-3</v>
      </c>
    </row>
    <row r="88" spans="1:6">
      <c r="A88" t="s">
        <v>91</v>
      </c>
      <c r="C88">
        <v>-8.0164694965413619E-4</v>
      </c>
      <c r="D88">
        <v>-5.9707724354666099E-3</v>
      </c>
      <c r="E88">
        <v>-1.5008773610288629E-3</v>
      </c>
      <c r="F88">
        <v>-8.2732967461496103E-3</v>
      </c>
    </row>
    <row r="89" spans="1:6">
      <c r="A89" t="s">
        <v>92</v>
      </c>
      <c r="C89">
        <v>-1.3472242353058501E-3</v>
      </c>
      <c r="D89">
        <v>0</v>
      </c>
      <c r="E89">
        <v>1.513398153044072E-3</v>
      </c>
      <c r="F89">
        <v>1.661739177382215E-4</v>
      </c>
    </row>
    <row r="90" spans="1:6">
      <c r="A90" t="s">
        <v>93</v>
      </c>
      <c r="C90">
        <v>-8.082002393834147E-4</v>
      </c>
      <c r="D90">
        <v>6.0195822035248358E-3</v>
      </c>
      <c r="E90">
        <v>-9.0788802451654161E-4</v>
      </c>
      <c r="F90">
        <v>4.3034939396248799E-3</v>
      </c>
    </row>
    <row r="91" spans="1:6">
      <c r="A91" t="s">
        <v>94</v>
      </c>
      <c r="C91">
        <v>1.609474116659801E-3</v>
      </c>
      <c r="D91">
        <v>2.2976187231007542E-2</v>
      </c>
      <c r="E91">
        <v>6.0266511733097063E-4</v>
      </c>
      <c r="F91">
        <v>2.5188326464998311E-2</v>
      </c>
    </row>
    <row r="92" spans="1:6">
      <c r="A92" t="s">
        <v>95</v>
      </c>
      <c r="C92">
        <v>2.0932402695993842E-3</v>
      </c>
      <c r="D92">
        <v>1.0718627008059371E-2</v>
      </c>
      <c r="E92">
        <v>1.1757159182821551E-3</v>
      </c>
      <c r="F92">
        <v>1.39875831959409E-2</v>
      </c>
    </row>
    <row r="93" spans="1:6">
      <c r="A93" t="s">
        <v>96</v>
      </c>
      <c r="C93">
        <v>1.5482735964589889E-3</v>
      </c>
      <c r="D93">
        <v>-7.6878309221505396E-3</v>
      </c>
      <c r="E93">
        <v>-5.7974867629861405E-4</v>
      </c>
      <c r="F93">
        <v>-6.7193060019901654E-3</v>
      </c>
    </row>
    <row r="94" spans="1:6">
      <c r="A94" t="s">
        <v>97</v>
      </c>
      <c r="C94">
        <v>4.6762418895723301E-3</v>
      </c>
      <c r="D94">
        <v>1.9349593142716269E-3</v>
      </c>
      <c r="E94">
        <v>5.253034835184244E-3</v>
      </c>
      <c r="F94">
        <v>1.1864236039028199E-2</v>
      </c>
    </row>
    <row r="95" spans="1:6">
      <c r="A95" t="s">
        <v>98</v>
      </c>
      <c r="C95">
        <v>2.5674513124834993E-4</v>
      </c>
      <c r="D95">
        <v>-3.8245433435736029E-3</v>
      </c>
      <c r="E95">
        <v>1.442067316084539E-3</v>
      </c>
      <c r="F95">
        <v>-2.1257308962407142E-3</v>
      </c>
    </row>
    <row r="96" spans="1:6">
      <c r="A96" t="s">
        <v>99</v>
      </c>
      <c r="C96">
        <v>-2.5729206494015081E-3</v>
      </c>
      <c r="D96">
        <v>-7.6653812248483307E-3</v>
      </c>
      <c r="E96">
        <v>-1.1561114346637931E-3</v>
      </c>
      <c r="F96">
        <v>-1.139441330891363E-2</v>
      </c>
    </row>
    <row r="97" spans="1:6">
      <c r="A97" t="s">
        <v>100</v>
      </c>
      <c r="C97">
        <v>-2.0820603759792249E-3</v>
      </c>
      <c r="D97">
        <v>-1.8415109780988381E-2</v>
      </c>
      <c r="E97">
        <v>0</v>
      </c>
      <c r="F97">
        <v>-2.0497170156967611E-2</v>
      </c>
    </row>
    <row r="98" spans="1:6">
      <c r="A98" t="s">
        <v>101</v>
      </c>
      <c r="C98">
        <v>-2.3913334924739221E-3</v>
      </c>
      <c r="D98">
        <v>-1.682146969917761E-2</v>
      </c>
      <c r="E98">
        <v>-3.283247597029216E-3</v>
      </c>
      <c r="F98">
        <v>-2.2496050788680749E-2</v>
      </c>
    </row>
    <row r="99" spans="1:6">
      <c r="A99" t="s">
        <v>102</v>
      </c>
      <c r="C99">
        <v>2.4463670907962308E-3</v>
      </c>
      <c r="D99">
        <v>2.5306757542950101E-2</v>
      </c>
      <c r="E99">
        <v>2.1374229552867051E-3</v>
      </c>
      <c r="F99">
        <v>2.9890547589033041E-2</v>
      </c>
    </row>
    <row r="100" spans="1:6">
      <c r="A100" t="s">
        <v>103</v>
      </c>
      <c r="C100">
        <v>-2.9032252301799078E-3</v>
      </c>
      <c r="D100">
        <v>-6.8802380297732172E-3</v>
      </c>
      <c r="E100">
        <v>-1.778904392419228E-3</v>
      </c>
      <c r="F100">
        <v>-1.1562367652372349E-2</v>
      </c>
    </row>
    <row r="101" spans="1:6">
      <c r="A101" t="s">
        <v>104</v>
      </c>
      <c r="C101">
        <v>2.4031522269930359E-3</v>
      </c>
      <c r="D101">
        <v>1.491582951130673E-2</v>
      </c>
      <c r="E101">
        <v>-5.9990444657399106E-4</v>
      </c>
      <c r="F101">
        <v>1.6719077291725771E-2</v>
      </c>
    </row>
    <row r="102" spans="1:6">
      <c r="A102" t="s">
        <v>105</v>
      </c>
      <c r="C102">
        <v>1.0505041955998331E-3</v>
      </c>
      <c r="D102">
        <v>3.9121470474849637E-2</v>
      </c>
      <c r="E102">
        <v>3.5402371803938989E-3</v>
      </c>
      <c r="F102">
        <v>4.3712211850843369E-2</v>
      </c>
    </row>
    <row r="103" spans="1:6">
      <c r="A103" t="s">
        <v>106</v>
      </c>
      <c r="C103">
        <v>0</v>
      </c>
      <c r="D103">
        <v>-1.4056127025718059E-2</v>
      </c>
      <c r="E103">
        <v>-8.4799170216565242E-4</v>
      </c>
      <c r="F103">
        <v>-1.4904118727883711E-2</v>
      </c>
    </row>
    <row r="104" spans="1:6">
      <c r="A104" t="s">
        <v>107</v>
      </c>
      <c r="C104">
        <v>1.5326033910315509E-3</v>
      </c>
      <c r="D104">
        <v>3.805010874018746E-3</v>
      </c>
      <c r="E104">
        <v>-2.8694049594123021E-4</v>
      </c>
      <c r="F104">
        <v>5.0506737691090667E-3</v>
      </c>
    </row>
    <row r="105" spans="1:6">
      <c r="A105" t="s">
        <v>108</v>
      </c>
      <c r="C105">
        <v>3.558103757756548E-3</v>
      </c>
      <c r="D105">
        <v>2.460828227533101E-2</v>
      </c>
      <c r="E105">
        <v>1.7129912158467891E-3</v>
      </c>
      <c r="F105">
        <v>2.9879377248934341E-2</v>
      </c>
    </row>
    <row r="106" spans="1:6">
      <c r="A106" t="s">
        <v>109</v>
      </c>
      <c r="C106">
        <v>2.2209905997056961E-3</v>
      </c>
      <c r="D106">
        <v>9.1901286316976617E-3</v>
      </c>
      <c r="E106">
        <v>4.7126636563310448E-3</v>
      </c>
      <c r="F106">
        <v>1.61237828877344E-2</v>
      </c>
    </row>
    <row r="107" spans="1:6">
      <c r="A107" t="s">
        <v>110</v>
      </c>
      <c r="C107">
        <v>2.9235848297236048E-3</v>
      </c>
      <c r="D107">
        <v>2.7115400569011779E-3</v>
      </c>
      <c r="E107">
        <v>5.4736593033538313E-4</v>
      </c>
      <c r="F107">
        <v>6.1824908169601667E-3</v>
      </c>
    </row>
    <row r="108" spans="1:6">
      <c r="A108" t="s">
        <v>111</v>
      </c>
      <c r="C108">
        <v>9.6854028515570389E-4</v>
      </c>
      <c r="D108">
        <v>-8.9829299742619868E-4</v>
      </c>
      <c r="E108">
        <v>-8.1600395852290378E-4</v>
      </c>
      <c r="F108">
        <v>-7.4575667079339856E-4</v>
      </c>
    </row>
    <row r="109" spans="1:6">
      <c r="A109" t="s">
        <v>112</v>
      </c>
      <c r="C109">
        <v>-7.2694733969467075E-4</v>
      </c>
      <c r="D109">
        <v>1.9777194918416369E-2</v>
      </c>
      <c r="E109">
        <v>1.361021588466866E-3</v>
      </c>
      <c r="F109">
        <v>2.0411269167188561E-2</v>
      </c>
    </row>
    <row r="110" spans="1:6">
      <c r="A110" t="s">
        <v>113</v>
      </c>
      <c r="C110">
        <v>2.1372186734706609E-3</v>
      </c>
      <c r="D110">
        <v>3.3477295318795952E-2</v>
      </c>
      <c r="E110">
        <v>4.2681507101039124E-3</v>
      </c>
      <c r="F110">
        <v>3.9882664702370507E-2</v>
      </c>
    </row>
    <row r="111" spans="1:6">
      <c r="A111" t="s">
        <v>114</v>
      </c>
      <c r="C111">
        <v>6.6224716856651371E-3</v>
      </c>
      <c r="D111">
        <v>0</v>
      </c>
      <c r="E111">
        <v>7.6958515158393858E-4</v>
      </c>
      <c r="F111">
        <v>7.3920568372490758E-3</v>
      </c>
    </row>
    <row r="112" spans="1:6">
      <c r="A112" t="s">
        <v>115</v>
      </c>
      <c r="C112">
        <v>-2.4935396320147829E-3</v>
      </c>
      <c r="D112">
        <v>-9.2507424815416357E-3</v>
      </c>
      <c r="E112">
        <v>-5.0929205192801457E-4</v>
      </c>
      <c r="F112">
        <v>-1.225357416548443E-2</v>
      </c>
    </row>
    <row r="113" spans="1:6">
      <c r="A113" t="s">
        <v>116</v>
      </c>
      <c r="C113">
        <v>-2.7539710415138219E-3</v>
      </c>
      <c r="D113">
        <v>-2.5542281922828831E-2</v>
      </c>
      <c r="E113">
        <v>-4.124880950069589E-3</v>
      </c>
      <c r="F113">
        <v>-3.2421133914412238E-2</v>
      </c>
    </row>
    <row r="114" spans="1:6">
      <c r="A114" t="s">
        <v>117</v>
      </c>
      <c r="C114">
        <v>2.3718747363847248E-3</v>
      </c>
      <c r="D114">
        <v>4.3996899233241203E-3</v>
      </c>
      <c r="E114">
        <v>-1.332217292127922E-3</v>
      </c>
      <c r="F114">
        <v>5.4393473675809238E-3</v>
      </c>
    </row>
    <row r="115" spans="1:6">
      <c r="A115" t="s">
        <v>118</v>
      </c>
      <c r="C115">
        <v>-4.7180861632175339E-4</v>
      </c>
      <c r="D115">
        <v>1.312766384618811E-2</v>
      </c>
      <c r="E115">
        <v>1.060008081534429E-3</v>
      </c>
      <c r="F115">
        <v>1.371586331140078E-2</v>
      </c>
    </row>
    <row r="116" spans="1:6">
      <c r="A116" t="s">
        <v>119</v>
      </c>
      <c r="C116">
        <v>1.163562279622775E-3</v>
      </c>
      <c r="D116">
        <v>0</v>
      </c>
      <c r="E116">
        <v>-5.2283293568663807E-4</v>
      </c>
      <c r="F116">
        <v>6.4072934393613731E-4</v>
      </c>
    </row>
    <row r="117" spans="1:6">
      <c r="A117" t="s">
        <v>120</v>
      </c>
      <c r="C117">
        <v>6.9769033710170348E-4</v>
      </c>
      <c r="D117">
        <v>5.1767002677818854E-3</v>
      </c>
      <c r="E117">
        <v>2.6124907789303671E-4</v>
      </c>
      <c r="F117">
        <v>6.1356396827766243E-3</v>
      </c>
    </row>
    <row r="118" spans="1:6">
      <c r="A118" t="s">
        <v>121</v>
      </c>
      <c r="C118">
        <v>9.2458088761826376E-4</v>
      </c>
      <c r="D118">
        <v>1.715043864733135E-3</v>
      </c>
      <c r="E118">
        <v>7.789677681293714E-4</v>
      </c>
      <c r="F118">
        <v>3.4185925204807711E-3</v>
      </c>
    </row>
    <row r="119" spans="1:6">
      <c r="A119" t="s">
        <v>122</v>
      </c>
      <c r="C119">
        <v>-5.2982276224829913E-3</v>
      </c>
      <c r="D119">
        <v>-6.8368032145991143E-3</v>
      </c>
      <c r="E119">
        <v>-2.5877128911630228E-4</v>
      </c>
      <c r="F119">
        <v>-1.239380212619841E-2</v>
      </c>
    </row>
    <row r="120" spans="1:6">
      <c r="A120" t="s">
        <v>123</v>
      </c>
      <c r="C120">
        <v>-6.8298879207923449E-4</v>
      </c>
      <c r="D120">
        <v>1.6482697627827711E-2</v>
      </c>
      <c r="E120">
        <v>-2.6268041113652299E-4</v>
      </c>
      <c r="F120">
        <v>1.5537028424611949E-2</v>
      </c>
    </row>
    <row r="121" spans="1:6">
      <c r="A121" t="s">
        <v>124</v>
      </c>
      <c r="C121">
        <v>5.1561363686203681E-3</v>
      </c>
      <c r="D121">
        <v>2.2210190083437619E-2</v>
      </c>
      <c r="E121">
        <v>-1.5519694730029611E-3</v>
      </c>
      <c r="F121">
        <v>2.5814356979055032E-2</v>
      </c>
    </row>
    <row r="122" spans="1:6">
      <c r="A122" t="s">
        <v>125</v>
      </c>
      <c r="C122">
        <v>0</v>
      </c>
      <c r="D122">
        <v>0</v>
      </c>
      <c r="E122">
        <v>-1.234776308006536E-3</v>
      </c>
      <c r="F122">
        <v>-1.234776308006536E-3</v>
      </c>
    </row>
    <row r="123" spans="1:6">
      <c r="A123" t="s">
        <v>126</v>
      </c>
      <c r="C123">
        <v>5.2594708690507381E-3</v>
      </c>
      <c r="D123">
        <v>2.5051540402358869E-2</v>
      </c>
      <c r="E123">
        <v>3.4616480233842341E-3</v>
      </c>
      <c r="F123">
        <v>3.3772659294793853E-2</v>
      </c>
    </row>
    <row r="124" spans="1:6">
      <c r="A124" t="s">
        <v>127</v>
      </c>
      <c r="C124">
        <v>-4.2397062366357062E-4</v>
      </c>
      <c r="D124">
        <v>4.0388538971176729E-3</v>
      </c>
      <c r="E124">
        <v>1.913461888361776E-3</v>
      </c>
      <c r="F124">
        <v>5.5283451618158789E-3</v>
      </c>
    </row>
    <row r="125" spans="1:6">
      <c r="A125" t="s">
        <v>128</v>
      </c>
      <c r="C125">
        <v>-8.4327930824335451E-4</v>
      </c>
      <c r="D125">
        <v>4.016648477937949E-3</v>
      </c>
      <c r="E125">
        <v>-1.1893386058984311E-3</v>
      </c>
      <c r="F125">
        <v>1.9840305637961642E-3</v>
      </c>
    </row>
    <row r="126" spans="1:6">
      <c r="A126" t="s">
        <v>129</v>
      </c>
      <c r="C126">
        <v>8.416095292146105E-4</v>
      </c>
      <c r="D126">
        <v>2.8060865730310129E-2</v>
      </c>
      <c r="E126">
        <v>-7.1219015650132516E-4</v>
      </c>
      <c r="F126">
        <v>2.8190285103023419E-2</v>
      </c>
    </row>
    <row r="127" spans="1:6">
      <c r="A127" t="s">
        <v>130</v>
      </c>
      <c r="C127">
        <v>-3.8880402992417301E-3</v>
      </c>
      <c r="D127">
        <v>-3.119029745688252E-2</v>
      </c>
      <c r="E127">
        <v>-2.7706550696691879E-3</v>
      </c>
      <c r="F127">
        <v>-3.7848992825793439E-2</v>
      </c>
    </row>
    <row r="128" spans="1:6">
      <c r="A128" t="s">
        <v>131</v>
      </c>
      <c r="C128">
        <v>2.126835584375584E-4</v>
      </c>
      <c r="D128">
        <v>0</v>
      </c>
      <c r="E128">
        <v>-2.3997056673103701E-4</v>
      </c>
      <c r="F128">
        <v>-2.728700829347859E-5</v>
      </c>
    </row>
    <row r="129" spans="1:6">
      <c r="A129" t="s">
        <v>132</v>
      </c>
      <c r="C129">
        <v>-1.488825534657621E-3</v>
      </c>
      <c r="D129">
        <v>1.2156803481510881E-2</v>
      </c>
      <c r="E129">
        <v>-4.7995422997712799E-4</v>
      </c>
      <c r="F129">
        <v>1.0188023716876131E-2</v>
      </c>
    </row>
    <row r="130" spans="1:6">
      <c r="A130" t="s">
        <v>133</v>
      </c>
      <c r="C130">
        <v>-4.2108866290332502E-4</v>
      </c>
      <c r="D130">
        <v>-2.0056997964895761E-2</v>
      </c>
      <c r="E130">
        <v>-9.5022751944967435E-4</v>
      </c>
      <c r="F130">
        <v>-2.1428314147248759E-2</v>
      </c>
    </row>
    <row r="131" spans="1:6">
      <c r="A131" t="s">
        <v>134</v>
      </c>
      <c r="C131">
        <v>-3.4424757551522901E-3</v>
      </c>
      <c r="D131">
        <v>-2.0496196911131349E-2</v>
      </c>
      <c r="E131">
        <v>-2.1848291235798951E-3</v>
      </c>
      <c r="F131">
        <v>-2.612350178986354E-2</v>
      </c>
    </row>
    <row r="132" spans="1:6">
      <c r="A132" t="s">
        <v>135</v>
      </c>
      <c r="C132">
        <v>0</v>
      </c>
      <c r="D132">
        <v>-2.946438868616414E-2</v>
      </c>
      <c r="E132">
        <v>-9.9708245123498779E-4</v>
      </c>
      <c r="F132">
        <v>-3.0461471137399131E-2</v>
      </c>
    </row>
    <row r="133" spans="1:6">
      <c r="A133" t="s">
        <v>136</v>
      </c>
      <c r="C133">
        <v>-5.2409472166939364E-3</v>
      </c>
      <c r="D133">
        <v>-2.6916960184954469E-2</v>
      </c>
      <c r="E133">
        <v>-1.7997162956568879E-3</v>
      </c>
      <c r="F133">
        <v>-3.3957623697305289E-2</v>
      </c>
    </row>
    <row r="134" spans="1:6">
      <c r="A134" t="s">
        <v>137</v>
      </c>
      <c r="C134">
        <v>4.2457877271768396E-3</v>
      </c>
      <c r="D134">
        <v>3.5952420288125023E-2</v>
      </c>
      <c r="E134">
        <v>2.661398032402926E-3</v>
      </c>
      <c r="F134">
        <v>4.2859606047704779E-2</v>
      </c>
    </row>
    <row r="135" spans="1:6">
      <c r="A135" t="s">
        <v>138</v>
      </c>
      <c r="C135">
        <v>-4.2974766662178098E-3</v>
      </c>
      <c r="D135">
        <v>-4.7402907936497971E-2</v>
      </c>
      <c r="E135">
        <v>-1.53121168964781E-3</v>
      </c>
      <c r="F135">
        <v>-5.3231596292363591E-2</v>
      </c>
    </row>
    <row r="136" spans="1:6">
      <c r="A136" t="s">
        <v>139</v>
      </c>
      <c r="C136">
        <v>4.7780002278648501E-4</v>
      </c>
      <c r="D136">
        <v>1.820658674319299E-2</v>
      </c>
      <c r="E136">
        <v>-2.6955055457621901E-4</v>
      </c>
      <c r="F136">
        <v>1.841483621140326E-2</v>
      </c>
    </row>
    <row r="137" spans="1:6">
      <c r="A137" t="s">
        <v>140</v>
      </c>
      <c r="C137">
        <v>1.407481526576964E-3</v>
      </c>
      <c r="D137">
        <v>-3.575475551971173E-3</v>
      </c>
      <c r="E137">
        <v>7.9402973618973929E-4</v>
      </c>
      <c r="F137">
        <v>-1.3739642892044691E-3</v>
      </c>
    </row>
    <row r="138" spans="1:6">
      <c r="A138" t="s">
        <v>141</v>
      </c>
      <c r="C138">
        <v>9.3961201106688963E-4</v>
      </c>
      <c r="D138">
        <v>-5.3705923300300957E-3</v>
      </c>
      <c r="E138">
        <v>-1.855285146647177E-3</v>
      </c>
      <c r="F138">
        <v>-6.2862654656103828E-3</v>
      </c>
    </row>
    <row r="139" spans="1:6">
      <c r="A139" t="s">
        <v>142</v>
      </c>
      <c r="C139">
        <v>2.1275010613505188E-3</v>
      </c>
      <c r="D139">
        <v>2.3419789779164368E-2</v>
      </c>
      <c r="E139">
        <v>-2.1337391325037679E-3</v>
      </c>
      <c r="F139">
        <v>2.341355170801112E-2</v>
      </c>
    </row>
    <row r="140" spans="1:6">
      <c r="A140" t="s">
        <v>143</v>
      </c>
      <c r="C140">
        <v>-7.3913895370161953E-3</v>
      </c>
      <c r="D140">
        <v>-5.0168756510408051E-2</v>
      </c>
      <c r="E140">
        <v>-4.6910782450760632E-3</v>
      </c>
      <c r="F140">
        <v>-6.225122429250031E-2</v>
      </c>
    </row>
    <row r="141" spans="1:6">
      <c r="A141" t="s">
        <v>144</v>
      </c>
      <c r="C141">
        <v>-9.1136286962647164E-3</v>
      </c>
      <c r="D141">
        <v>-8.2595169228187007E-2</v>
      </c>
      <c r="E141">
        <v>-5.5027382634442604E-3</v>
      </c>
      <c r="F141">
        <v>-9.7211536187895978E-2</v>
      </c>
    </row>
    <row r="142" spans="1:6">
      <c r="A142" t="s">
        <v>145</v>
      </c>
      <c r="C142">
        <v>-2.7283721376783189E-4</v>
      </c>
      <c r="D142">
        <v>6.757706583337067E-2</v>
      </c>
      <c r="E142">
        <v>5.1717431368086594E-3</v>
      </c>
      <c r="F142">
        <v>7.2475971756411489E-2</v>
      </c>
    </row>
    <row r="143" spans="1:6">
      <c r="A143" t="s">
        <v>146</v>
      </c>
      <c r="C143">
        <v>1.526396232379931E-3</v>
      </c>
      <c r="D143">
        <v>3.8775588229341643E-2</v>
      </c>
      <c r="E143">
        <v>4.3055769288328693E-3</v>
      </c>
      <c r="F143">
        <v>4.4607561390554447E-2</v>
      </c>
    </row>
    <row r="144" spans="1:6">
      <c r="A144" t="s">
        <v>147</v>
      </c>
      <c r="C144">
        <v>-3.409501654521252E-3</v>
      </c>
      <c r="D144">
        <v>-2.2271859593505861E-2</v>
      </c>
      <c r="E144">
        <v>-1.9234680158553049E-3</v>
      </c>
      <c r="F144">
        <v>-2.760482926388242E-2</v>
      </c>
    </row>
    <row r="145" spans="1:6">
      <c r="A145" t="s">
        <v>148</v>
      </c>
      <c r="C145">
        <v>2.5044944668065712E-3</v>
      </c>
      <c r="D145">
        <v>3.626486304227778E-2</v>
      </c>
      <c r="E145">
        <v>5.6516353308125344E-4</v>
      </c>
      <c r="F145">
        <v>3.9334521042165602E-2</v>
      </c>
    </row>
    <row r="146" spans="1:6">
      <c r="A146" t="s">
        <v>149</v>
      </c>
      <c r="C146">
        <v>3.614564535432616E-3</v>
      </c>
      <c r="D146">
        <v>5.5093243712657676E-3</v>
      </c>
      <c r="E146">
        <v>2.718872132307077E-3</v>
      </c>
      <c r="F146">
        <v>1.1842761039005461E-2</v>
      </c>
    </row>
    <row r="147" spans="1:6">
      <c r="A147" t="s">
        <v>150</v>
      </c>
      <c r="C147">
        <v>2.3815060828364411E-3</v>
      </c>
      <c r="D147">
        <v>9.0747373396378765E-4</v>
      </c>
      <c r="E147">
        <v>-8.0611501223230094E-4</v>
      </c>
      <c r="F147">
        <v>2.482864804567927E-3</v>
      </c>
    </row>
    <row r="148" spans="1:6">
      <c r="A148" t="s">
        <v>151</v>
      </c>
      <c r="C148">
        <v>2.1380469929235539E-3</v>
      </c>
      <c r="D148">
        <v>6.3365832581935297E-3</v>
      </c>
      <c r="E148">
        <v>1.3401974912050851E-3</v>
      </c>
      <c r="F148">
        <v>9.8148277423221689E-3</v>
      </c>
    </row>
    <row r="149" spans="1:6">
      <c r="A149" t="s">
        <v>152</v>
      </c>
      <c r="C149">
        <v>-2.1172663880403299E-3</v>
      </c>
      <c r="D149">
        <v>-4.4821394718761367E-3</v>
      </c>
      <c r="E149">
        <v>-1.592605837489724E-3</v>
      </c>
      <c r="F149">
        <v>-8.1920116974061909E-3</v>
      </c>
    </row>
    <row r="150" spans="1:6">
      <c r="A150" t="s">
        <v>153</v>
      </c>
      <c r="C150">
        <v>1.4231695469361131E-3</v>
      </c>
      <c r="D150">
        <v>2.3499634534749351E-2</v>
      </c>
      <c r="E150">
        <v>4.0144006104834637E-3</v>
      </c>
      <c r="F150">
        <v>2.8937204692168931E-2</v>
      </c>
    </row>
    <row r="151" spans="1:6">
      <c r="A151" t="s">
        <v>154</v>
      </c>
      <c r="C151">
        <v>1.3831451914132001E-3</v>
      </c>
      <c r="D151">
        <v>3.513653091242872E-3</v>
      </c>
      <c r="E151">
        <v>1.3005006823794999E-3</v>
      </c>
      <c r="F151">
        <v>6.1972989650355709E-3</v>
      </c>
    </row>
    <row r="152" spans="1:6">
      <c r="A152" t="s">
        <v>155</v>
      </c>
      <c r="C152">
        <v>-2.2910437029197099E-4</v>
      </c>
      <c r="D152">
        <v>0</v>
      </c>
      <c r="E152">
        <v>-2.5849814618210198E-4</v>
      </c>
      <c r="F152">
        <v>-4.876025164740731E-4</v>
      </c>
    </row>
    <row r="153" spans="1:6">
      <c r="A153" t="s">
        <v>156</v>
      </c>
      <c r="C153">
        <v>-1.375296819942129E-3</v>
      </c>
      <c r="D153">
        <v>-1.31014334741374E-2</v>
      </c>
      <c r="E153">
        <v>-1.5517455121092441E-3</v>
      </c>
      <c r="F153">
        <v>-1.6028475806188769E-2</v>
      </c>
    </row>
    <row r="154" spans="1:6">
      <c r="A154" t="s">
        <v>157</v>
      </c>
      <c r="C154">
        <v>-1.863599756871608E-3</v>
      </c>
      <c r="D154">
        <v>-6.2135967734839852E-3</v>
      </c>
      <c r="E154">
        <v>5.2567426121422295E-4</v>
      </c>
      <c r="F154">
        <v>-7.5515222691413704E-3</v>
      </c>
    </row>
    <row r="155" spans="1:6">
      <c r="A155" t="s">
        <v>158</v>
      </c>
      <c r="C155">
        <v>2.3472248165624631E-4</v>
      </c>
      <c r="D155">
        <v>-1.788821690685301E-3</v>
      </c>
      <c r="E155">
        <v>-2.6483705351441938E-4</v>
      </c>
      <c r="F155">
        <v>-1.8189362625434741E-3</v>
      </c>
    </row>
    <row r="156" spans="1:6">
      <c r="A156" t="s">
        <v>159</v>
      </c>
      <c r="C156">
        <v>9.4060081956426887E-4</v>
      </c>
      <c r="D156">
        <v>8.9604068623956568E-4</v>
      </c>
      <c r="E156">
        <v>-5.3063930610504416E-4</v>
      </c>
      <c r="F156">
        <v>1.30600219969879E-3</v>
      </c>
    </row>
    <row r="157" spans="1:6">
      <c r="A157" t="s">
        <v>160</v>
      </c>
      <c r="C157">
        <v>-7.0453049629528501E-4</v>
      </c>
      <c r="D157">
        <v>-7.158975851706606E-3</v>
      </c>
      <c r="E157">
        <v>-2.6497359695204059E-4</v>
      </c>
      <c r="F157">
        <v>-8.1284799449539303E-3</v>
      </c>
    </row>
    <row r="158" spans="1:6">
      <c r="A158" t="s">
        <v>161</v>
      </c>
      <c r="C158">
        <v>2.3676806321857279E-3</v>
      </c>
      <c r="D158">
        <v>1.9848521904430309E-2</v>
      </c>
      <c r="E158">
        <v>-5.3429016076060999E-4</v>
      </c>
      <c r="F158">
        <v>2.1681912375855431E-2</v>
      </c>
    </row>
    <row r="159" spans="1:6">
      <c r="A159" t="s">
        <v>162</v>
      </c>
      <c r="C159">
        <v>-4.6348684527062632E-4</v>
      </c>
      <c r="D159">
        <v>-1.854424173886117E-2</v>
      </c>
      <c r="E159">
        <v>2.6147578531470362E-3</v>
      </c>
      <c r="F159">
        <v>-1.6392970730984769E-2</v>
      </c>
    </row>
    <row r="160" spans="1:6">
      <c r="A160" t="s">
        <v>163</v>
      </c>
      <c r="C160">
        <v>0</v>
      </c>
      <c r="D160">
        <v>8.9777635188132148E-4</v>
      </c>
      <c r="E160">
        <v>-5.3166717506893753E-4</v>
      </c>
      <c r="F160">
        <v>3.6610917681238389E-4</v>
      </c>
    </row>
    <row r="161" spans="1:6">
      <c r="A161" t="s">
        <v>164</v>
      </c>
      <c r="C161">
        <v>-7.0655842241497185E-4</v>
      </c>
      <c r="D161">
        <v>3.5897911520416828E-3</v>
      </c>
      <c r="E161">
        <v>-7.9720889711033761E-4</v>
      </c>
      <c r="F161">
        <v>2.0860238325163729E-3</v>
      </c>
    </row>
    <row r="162" spans="1:6">
      <c r="A162" t="s">
        <v>165</v>
      </c>
      <c r="C162">
        <v>9.4011679052291618E-4</v>
      </c>
      <c r="D162">
        <v>-7.1646367011733974E-3</v>
      </c>
      <c r="E162">
        <v>-2.6518312072696179E-4</v>
      </c>
      <c r="F162">
        <v>-6.4897030313774426E-3</v>
      </c>
    </row>
    <row r="163" spans="1:6">
      <c r="A163" t="s">
        <v>166</v>
      </c>
      <c r="C163">
        <v>-2.6022087358594029E-3</v>
      </c>
      <c r="D163">
        <v>-4.5972909500124608E-2</v>
      </c>
      <c r="E163">
        <v>-4.5375604723105617E-3</v>
      </c>
      <c r="F163">
        <v>-5.3112678708294572E-2</v>
      </c>
    </row>
    <row r="164" spans="1:6">
      <c r="A164" t="s">
        <v>167</v>
      </c>
      <c r="C164">
        <v>-2.2485039422532899E-3</v>
      </c>
      <c r="D164">
        <v>1.2375902085747169E-2</v>
      </c>
      <c r="E164">
        <v>-1.4094355046200551E-3</v>
      </c>
      <c r="F164">
        <v>8.7179626388738229E-3</v>
      </c>
    </row>
    <row r="165" spans="1:6">
      <c r="A165" t="s">
        <v>168</v>
      </c>
      <c r="C165">
        <v>7.4302366156312339E-4</v>
      </c>
      <c r="D165">
        <v>1.510023619516276E-2</v>
      </c>
      <c r="E165">
        <v>1.9561560114444948E-3</v>
      </c>
      <c r="F165">
        <v>1.7799415868170378E-2</v>
      </c>
    </row>
    <row r="166" spans="1:6">
      <c r="A166" t="s">
        <v>169</v>
      </c>
      <c r="C166">
        <v>-2.1900886853899399E-3</v>
      </c>
      <c r="D166">
        <v>-1.7617941415755681E-2</v>
      </c>
      <c r="E166">
        <v>-2.1965102704596599E-3</v>
      </c>
      <c r="F166">
        <v>-2.2004540371605281E-2</v>
      </c>
    </row>
    <row r="167" spans="1:6">
      <c r="A167" t="s">
        <v>170</v>
      </c>
      <c r="C167">
        <v>-1.492909920203583E-3</v>
      </c>
      <c r="D167">
        <v>4.7406154363220897E-3</v>
      </c>
      <c r="E167">
        <v>1.403706842932494E-3</v>
      </c>
      <c r="F167">
        <v>4.6514123590510013E-3</v>
      </c>
    </row>
    <row r="168" spans="1:6">
      <c r="A168" t="s">
        <v>171</v>
      </c>
      <c r="C168">
        <v>2.4766632184358662E-4</v>
      </c>
      <c r="D168">
        <v>-2.831200182274474E-3</v>
      </c>
      <c r="E168">
        <v>-1.117766282445299E-3</v>
      </c>
      <c r="F168">
        <v>-3.7013001428761868E-3</v>
      </c>
    </row>
    <row r="169" spans="1:6">
      <c r="A169" t="s">
        <v>172</v>
      </c>
      <c r="C169">
        <v>3.9773826364178314E-3</v>
      </c>
      <c r="D169">
        <v>3.6942337046958262E-2</v>
      </c>
      <c r="E169">
        <v>2.5243173918249491E-3</v>
      </c>
      <c r="F169">
        <v>4.3444037075201031E-2</v>
      </c>
    </row>
    <row r="170" spans="1:6">
      <c r="A170" t="s">
        <v>173</v>
      </c>
      <c r="C170">
        <v>-7.1731418716309918E-4</v>
      </c>
      <c r="D170">
        <v>6.3506255346764103E-3</v>
      </c>
      <c r="E170">
        <v>-1.6186892233917419E-3</v>
      </c>
      <c r="F170">
        <v>4.0146221241215687E-3</v>
      </c>
    </row>
    <row r="171" spans="1:6">
      <c r="A171" t="s">
        <v>174</v>
      </c>
      <c r="C171">
        <v>2.381486522063889E-3</v>
      </c>
      <c r="D171">
        <v>0</v>
      </c>
      <c r="E171">
        <v>2.6870279703815428E-4</v>
      </c>
      <c r="F171">
        <v>2.6501893191020428E-3</v>
      </c>
    </row>
    <row r="172" spans="1:6">
      <c r="A172" t="s">
        <v>175</v>
      </c>
      <c r="C172">
        <v>-3.325268539722326E-3</v>
      </c>
      <c r="D172">
        <v>-5.4072971684068901E-3</v>
      </c>
      <c r="E172">
        <v>-1.3399628300106829E-3</v>
      </c>
      <c r="F172">
        <v>-1.00725285381399E-2</v>
      </c>
    </row>
    <row r="173" spans="1:6">
      <c r="A173" t="s">
        <v>176</v>
      </c>
      <c r="C173">
        <v>1.199679715211786E-3</v>
      </c>
      <c r="D173">
        <v>1.7297335606485258E-2</v>
      </c>
      <c r="E173">
        <v>8.1215818449724246E-4</v>
      </c>
      <c r="F173">
        <v>1.930917350619429E-2</v>
      </c>
    </row>
    <row r="174" spans="1:6">
      <c r="A174" t="s">
        <v>177</v>
      </c>
      <c r="C174">
        <v>2.353907423564448E-4</v>
      </c>
      <c r="D174">
        <v>1.16108236899942E-2</v>
      </c>
      <c r="E174">
        <v>2.6559105114417871E-4</v>
      </c>
      <c r="F174">
        <v>1.211180548349482E-2</v>
      </c>
    </row>
    <row r="175" spans="1:6">
      <c r="A175" t="s">
        <v>178</v>
      </c>
      <c r="C175">
        <v>1.3954431185238269E-3</v>
      </c>
      <c r="D175">
        <v>3.529808778068925E-3</v>
      </c>
      <c r="E175">
        <v>1.049651035410276E-3</v>
      </c>
      <c r="F175">
        <v>5.9749029320030284E-3</v>
      </c>
    </row>
    <row r="176" spans="1:6">
      <c r="A176" t="s">
        <v>179</v>
      </c>
      <c r="C176">
        <v>1.3871550020350251E-3</v>
      </c>
      <c r="D176">
        <v>8.7721094427430178E-3</v>
      </c>
      <c r="E176">
        <v>2.6085418044500298E-3</v>
      </c>
      <c r="F176">
        <v>1.276780624922807E-2</v>
      </c>
    </row>
    <row r="177" spans="1:6">
      <c r="A177" t="s">
        <v>180</v>
      </c>
      <c r="C177">
        <v>2.5110568168130072E-3</v>
      </c>
      <c r="D177">
        <v>1.559073748149117E-2</v>
      </c>
      <c r="E177">
        <v>1.545393794127834E-3</v>
      </c>
      <c r="F177">
        <v>1.964718809243202E-2</v>
      </c>
    </row>
    <row r="178" spans="1:6">
      <c r="A178" t="s">
        <v>181</v>
      </c>
      <c r="C178">
        <v>4.4775858768288481E-4</v>
      </c>
      <c r="D178">
        <v>8.4946253215827799E-3</v>
      </c>
      <c r="E178">
        <v>2.273424296425965E-3</v>
      </c>
      <c r="F178">
        <v>1.1215808205691629E-2</v>
      </c>
    </row>
    <row r="179" spans="1:6">
      <c r="A179" t="s">
        <v>182</v>
      </c>
      <c r="C179">
        <v>6.6418847102092497E-4</v>
      </c>
      <c r="D179">
        <v>-1.26006119356298E-2</v>
      </c>
      <c r="E179">
        <v>-4.9960195944939788E-4</v>
      </c>
      <c r="F179">
        <v>-1.2436025424058269E-2</v>
      </c>
    </row>
    <row r="180" spans="1:6">
      <c r="A180" t="s">
        <v>183</v>
      </c>
      <c r="C180">
        <v>-1.569288814645446E-3</v>
      </c>
      <c r="D180">
        <v>-3.6576622016799162E-2</v>
      </c>
      <c r="E180">
        <v>-4.3000927176827927E-3</v>
      </c>
      <c r="F180">
        <v>-4.2446003549127399E-2</v>
      </c>
    </row>
    <row r="181" spans="1:6">
      <c r="A181" t="s">
        <v>184</v>
      </c>
      <c r="C181">
        <v>-2.3412164453268271E-4</v>
      </c>
      <c r="D181">
        <v>1.3324874416834869E-2</v>
      </c>
      <c r="E181">
        <v>1.849113908694699E-3</v>
      </c>
      <c r="F181">
        <v>1.493986668099689E-2</v>
      </c>
    </row>
    <row r="182" spans="1:6">
      <c r="A182" t="s">
        <v>185</v>
      </c>
      <c r="C182">
        <v>3.2294553904716832E-3</v>
      </c>
      <c r="D182">
        <v>4.3762442992178376E-3</v>
      </c>
      <c r="E182">
        <v>1.041082879825651E-3</v>
      </c>
      <c r="F182">
        <v>8.6467825695151716E-3</v>
      </c>
    </row>
    <row r="183" spans="1:6">
      <c r="A183" t="s">
        <v>186</v>
      </c>
      <c r="C183">
        <v>1.600885189087049E-3</v>
      </c>
      <c r="D183">
        <v>2.4296878252254659E-2</v>
      </c>
      <c r="E183">
        <v>1.0321580337306041E-3</v>
      </c>
      <c r="F183">
        <v>2.692992147507231E-2</v>
      </c>
    </row>
    <row r="184" spans="1:6">
      <c r="A184" t="s">
        <v>187</v>
      </c>
      <c r="C184">
        <v>-1.558904026077605E-3</v>
      </c>
      <c r="D184">
        <v>4.2249506695637819E-3</v>
      </c>
      <c r="E184">
        <v>-1.256363764637442E-3</v>
      </c>
      <c r="F184">
        <v>1.409682878848736E-3</v>
      </c>
    </row>
    <row r="185" spans="1:6">
      <c r="A185" t="s">
        <v>188</v>
      </c>
      <c r="C185">
        <v>2.2238707989493838E-3</v>
      </c>
      <c r="D185">
        <v>8.4380064259373059E-3</v>
      </c>
      <c r="E185">
        <v>1.0036761466301399E-3</v>
      </c>
      <c r="F185">
        <v>1.166555337151683E-2</v>
      </c>
    </row>
    <row r="186" spans="1:6">
      <c r="A186" t="s">
        <v>189</v>
      </c>
      <c r="C186">
        <v>4.3964545230150897E-4</v>
      </c>
      <c r="D186">
        <v>2.0851768644826522E-2</v>
      </c>
      <c r="E186">
        <v>2.7282824783688982E-3</v>
      </c>
      <c r="F186">
        <v>2.4019696575496921E-2</v>
      </c>
    </row>
    <row r="187" spans="1:6">
      <c r="A187" t="s">
        <v>190</v>
      </c>
      <c r="C187">
        <v>-4.293330038199081E-4</v>
      </c>
      <c r="D187">
        <v>0</v>
      </c>
      <c r="E187">
        <v>-4.8441583825225198E-4</v>
      </c>
      <c r="F187">
        <v>-9.1374884207216008E-4</v>
      </c>
    </row>
    <row r="188" spans="1:6">
      <c r="A188" t="s">
        <v>191</v>
      </c>
      <c r="C188">
        <v>3.4378053211907718E-3</v>
      </c>
      <c r="D188">
        <v>2.0381287020075429E-2</v>
      </c>
      <c r="E188">
        <v>4.8485887749012712E-4</v>
      </c>
      <c r="F188">
        <v>2.430395121875633E-2</v>
      </c>
    </row>
    <row r="189" spans="1:6">
      <c r="A189" t="s">
        <v>192</v>
      </c>
      <c r="C189">
        <v>-8.3905888410865223E-4</v>
      </c>
      <c r="D189">
        <v>-1.9897694425394911E-2</v>
      </c>
      <c r="E189">
        <v>-1.183386232458694E-3</v>
      </c>
      <c r="F189">
        <v>-2.1920139541962261E-2</v>
      </c>
    </row>
    <row r="190" spans="1:6">
      <c r="A190" t="s">
        <v>193</v>
      </c>
      <c r="C190">
        <v>1.5012608955085811E-3</v>
      </c>
      <c r="D190">
        <v>-8.1374518502310301E-3</v>
      </c>
      <c r="E190">
        <v>0</v>
      </c>
      <c r="F190">
        <v>-6.6361909547224488E-3</v>
      </c>
    </row>
    <row r="191" spans="1:6">
      <c r="A191" t="s">
        <v>194</v>
      </c>
      <c r="C191">
        <v>-4.3179717292425769E-4</v>
      </c>
      <c r="D191">
        <v>4.0959071470763248E-2</v>
      </c>
      <c r="E191">
        <v>1.461588470599831E-3</v>
      </c>
      <c r="F191">
        <v>4.1988862768438828E-2</v>
      </c>
    </row>
    <row r="192" spans="1:6">
      <c r="A192" t="s">
        <v>195</v>
      </c>
      <c r="C192">
        <v>1.0359927738983329E-3</v>
      </c>
      <c r="D192">
        <v>0</v>
      </c>
      <c r="E192">
        <v>1.1689092232046239E-3</v>
      </c>
      <c r="F192">
        <v>2.2049019971029571E-3</v>
      </c>
    </row>
    <row r="193" spans="1:6">
      <c r="A193" t="s">
        <v>196</v>
      </c>
      <c r="C193">
        <v>2.2741697810842688E-3</v>
      </c>
      <c r="D193">
        <v>-7.8444138667535333E-3</v>
      </c>
      <c r="E193">
        <v>-9.3307005054581399E-4</v>
      </c>
      <c r="F193">
        <v>-6.5033141362150788E-3</v>
      </c>
    </row>
    <row r="194" spans="1:6">
      <c r="A194" t="s">
        <v>197</v>
      </c>
      <c r="C194">
        <v>2.0809602116744549E-4</v>
      </c>
      <c r="D194">
        <v>-1.184364373586203E-2</v>
      </c>
      <c r="E194">
        <v>-4.6958890946604751E-4</v>
      </c>
      <c r="F194">
        <v>-1.210513662416063E-2</v>
      </c>
    </row>
    <row r="195" spans="1:6">
      <c r="A195" t="s">
        <v>198</v>
      </c>
      <c r="C195">
        <v>-1.895813269143893E-3</v>
      </c>
      <c r="D195">
        <v>0</v>
      </c>
      <c r="E195">
        <v>-1.426029004325519E-3</v>
      </c>
      <c r="F195">
        <v>-3.3218422734694109E-3</v>
      </c>
    </row>
    <row r="196" spans="1:6">
      <c r="A196" t="s">
        <v>199</v>
      </c>
      <c r="C196">
        <v>1.9021318511367119E-3</v>
      </c>
      <c r="D196">
        <v>4.0095756538189916E-3</v>
      </c>
      <c r="E196">
        <v>2.1461727538682452E-3</v>
      </c>
      <c r="F196">
        <v>8.0578802588239483E-3</v>
      </c>
    </row>
    <row r="197" spans="1:6">
      <c r="A197" t="s">
        <v>200</v>
      </c>
      <c r="C197">
        <v>-4.1931715945788748E-4</v>
      </c>
      <c r="D197">
        <v>-1.19325756953247E-2</v>
      </c>
      <c r="E197">
        <v>9.4622994964323756E-4</v>
      </c>
      <c r="F197">
        <v>-1.1405662905139349E-2</v>
      </c>
    </row>
    <row r="198" spans="1:6">
      <c r="A198" t="s">
        <v>201</v>
      </c>
      <c r="C198">
        <v>-2.332852101697893E-3</v>
      </c>
      <c r="D198">
        <v>-8.0468298927616356E-3</v>
      </c>
      <c r="E198">
        <v>-1.675006976816997E-3</v>
      </c>
      <c r="F198">
        <v>-1.2054688971276531E-2</v>
      </c>
    </row>
    <row r="199" spans="1:6">
      <c r="A199" t="s">
        <v>202</v>
      </c>
      <c r="C199">
        <v>8.5866074335587026E-4</v>
      </c>
      <c r="D199">
        <v>-8.1450155215400197E-3</v>
      </c>
      <c r="E199">
        <v>-4.8441286841008081E-4</v>
      </c>
      <c r="F199">
        <v>-7.77076764659423E-3</v>
      </c>
    </row>
    <row r="200" spans="1:6">
      <c r="A200" t="s">
        <v>203</v>
      </c>
      <c r="C200">
        <v>-1.5144245421077919E-3</v>
      </c>
      <c r="D200">
        <v>-4.1044021159411786E-3</v>
      </c>
      <c r="E200">
        <v>0</v>
      </c>
      <c r="F200">
        <v>-5.6188266580489707E-3</v>
      </c>
    </row>
    <row r="201" spans="1:6">
      <c r="A201" t="s">
        <v>204</v>
      </c>
      <c r="C201">
        <v>2.610826137399424E-3</v>
      </c>
      <c r="D201">
        <v>1.238278305937841E-2</v>
      </c>
      <c r="E201">
        <v>2.4548262860192018E-4</v>
      </c>
      <c r="F201">
        <v>1.523909182537975E-2</v>
      </c>
    </row>
    <row r="202" spans="1:6">
      <c r="A202" t="s">
        <v>205</v>
      </c>
      <c r="C202">
        <v>0</v>
      </c>
      <c r="D202">
        <v>8.1312754529670513E-3</v>
      </c>
      <c r="E202">
        <v>-2.4179784897816259E-4</v>
      </c>
      <c r="F202">
        <v>7.8894776039888891E-3</v>
      </c>
    </row>
    <row r="203" spans="1:6">
      <c r="A203" t="s">
        <v>206</v>
      </c>
      <c r="C203">
        <v>-2.126255561982136E-4</v>
      </c>
      <c r="D203">
        <v>8.0676260975530503E-3</v>
      </c>
      <c r="E203">
        <v>7.1971536865225933E-4</v>
      </c>
      <c r="F203">
        <v>8.5747159100070958E-3</v>
      </c>
    </row>
    <row r="204" spans="1:6">
      <c r="A204" t="s">
        <v>207</v>
      </c>
      <c r="C204">
        <v>1.4757249709998681E-3</v>
      </c>
      <c r="D204">
        <v>3.9995183154447169E-3</v>
      </c>
      <c r="E204">
        <v>0</v>
      </c>
      <c r="F204">
        <v>5.4752432864445836E-3</v>
      </c>
    </row>
    <row r="205" spans="1:6">
      <c r="A205" t="s">
        <v>208</v>
      </c>
      <c r="C205">
        <v>4.1933971901866581E-4</v>
      </c>
      <c r="D205">
        <v>1.9888696127276569E-2</v>
      </c>
      <c r="E205">
        <v>-1.1828510718576129E-3</v>
      </c>
      <c r="F205">
        <v>1.9125184774437629E-2</v>
      </c>
    </row>
    <row r="206" spans="1:6">
      <c r="A206" t="s">
        <v>209</v>
      </c>
      <c r="C206">
        <v>8.2294054799848359E-4</v>
      </c>
      <c r="D206">
        <v>-3.9030918722077362E-3</v>
      </c>
      <c r="E206">
        <v>6.9639201711186043E-4</v>
      </c>
      <c r="F206">
        <v>-2.3837593070973918E-3</v>
      </c>
    </row>
    <row r="207" spans="1:6">
      <c r="A207" t="s">
        <v>210</v>
      </c>
      <c r="C207">
        <v>-2.4747207826936639E-3</v>
      </c>
      <c r="D207">
        <v>-2.7386926947457951E-2</v>
      </c>
      <c r="E207">
        <v>-1.396112029267237E-3</v>
      </c>
      <c r="F207">
        <v>-3.1257759759418857E-2</v>
      </c>
    </row>
    <row r="208" spans="1:6">
      <c r="A208" t="s">
        <v>211</v>
      </c>
      <c r="C208">
        <v>2.1288091230534499E-4</v>
      </c>
      <c r="D208">
        <v>-1.2115972565765829E-2</v>
      </c>
      <c r="E208">
        <v>-4.8038648165774268E-4</v>
      </c>
      <c r="F208">
        <v>-1.238347813511822E-2</v>
      </c>
    </row>
    <row r="209" spans="1:6">
      <c r="A209" t="s">
        <v>212</v>
      </c>
      <c r="C209">
        <v>-1.293301038970284E-3</v>
      </c>
      <c r="D209">
        <v>0</v>
      </c>
      <c r="E209">
        <v>-9.7281985674084448E-4</v>
      </c>
      <c r="F209">
        <v>-2.266120895711128E-3</v>
      </c>
    </row>
    <row r="210" spans="1:6">
      <c r="A210" t="s">
        <v>213</v>
      </c>
      <c r="C210">
        <v>-1.944357708086458E-3</v>
      </c>
      <c r="D210">
        <v>0</v>
      </c>
      <c r="E210">
        <v>1.706301434631879E-3</v>
      </c>
      <c r="F210">
        <v>-2.3805627345457921E-4</v>
      </c>
    </row>
    <row r="211" spans="1:6">
      <c r="A211" t="s">
        <v>214</v>
      </c>
      <c r="C211">
        <v>-1.944820684851232E-3</v>
      </c>
      <c r="D211">
        <v>-8.1991221211747869E-3</v>
      </c>
      <c r="E211">
        <v>-1.462892337525661E-3</v>
      </c>
      <c r="F211">
        <v>-1.160683514355168E-2</v>
      </c>
    </row>
    <row r="212" spans="1:6">
      <c r="A212" t="s">
        <v>215</v>
      </c>
      <c r="C212">
        <v>4.3725755071783991E-4</v>
      </c>
      <c r="D212">
        <v>1.244310828833828E-2</v>
      </c>
      <c r="E212">
        <v>2.220106921325374E-3</v>
      </c>
      <c r="F212">
        <v>1.5100472760381499E-2</v>
      </c>
    </row>
    <row r="213" spans="1:6">
      <c r="A213" t="s">
        <v>216</v>
      </c>
      <c r="C213">
        <v>1.076882442800951E-3</v>
      </c>
      <c r="D213">
        <v>-1.225800659367393E-2</v>
      </c>
      <c r="E213">
        <v>-4.8601799217595272E-4</v>
      </c>
      <c r="F213">
        <v>-1.1667142143048939E-2</v>
      </c>
    </row>
    <row r="214" spans="1:6">
      <c r="A214" t="s">
        <v>217</v>
      </c>
      <c r="C214">
        <v>-1.5254328619513961E-3</v>
      </c>
      <c r="D214">
        <v>-1.240271078334231E-2</v>
      </c>
      <c r="E214">
        <v>-4.917553720006927E-4</v>
      </c>
      <c r="F214">
        <v>-1.44198990172944E-2</v>
      </c>
    </row>
    <row r="215" spans="1:6">
      <c r="A215" t="s">
        <v>218</v>
      </c>
      <c r="C215">
        <v>2.2110732558570069E-4</v>
      </c>
      <c r="D215">
        <v>2.5168346582841471E-2</v>
      </c>
      <c r="E215">
        <v>2.2452758246606971E-3</v>
      </c>
      <c r="F215">
        <v>2.7634729733087861E-2</v>
      </c>
    </row>
    <row r="216" spans="1:6">
      <c r="A216" t="s">
        <v>219</v>
      </c>
      <c r="C216">
        <v>3.227420977341773E-3</v>
      </c>
      <c r="D216">
        <v>-8.1638432589040515E-3</v>
      </c>
      <c r="E216">
        <v>-1.4565978615403369E-3</v>
      </c>
      <c r="F216">
        <v>-6.3930201431026158E-3</v>
      </c>
    </row>
    <row r="217" spans="1:6">
      <c r="A217" t="s">
        <v>220</v>
      </c>
      <c r="C217">
        <v>-3.4647324803686822E-3</v>
      </c>
      <c r="D217">
        <v>-1.643274136435683E-2</v>
      </c>
      <c r="E217">
        <v>0</v>
      </c>
      <c r="F217">
        <v>-1.9897473844725511E-2</v>
      </c>
    </row>
    <row r="218" spans="1:6">
      <c r="A218" t="s">
        <v>221</v>
      </c>
      <c r="C218">
        <v>-2.651303604399476E-3</v>
      </c>
      <c r="D218">
        <v>-8.3831746811320051E-3</v>
      </c>
      <c r="E218">
        <v>-1.495731106809027E-3</v>
      </c>
      <c r="F218">
        <v>-1.253020939234051E-2</v>
      </c>
    </row>
    <row r="219" spans="1:6">
      <c r="A219" t="s">
        <v>222</v>
      </c>
      <c r="C219">
        <v>-4.4749109113976772E-4</v>
      </c>
      <c r="D219">
        <v>4.2447752634403382E-3</v>
      </c>
      <c r="E219">
        <v>2.5245179161187279E-4</v>
      </c>
      <c r="F219">
        <v>4.0497359639124434E-3</v>
      </c>
    </row>
    <row r="220" spans="1:6">
      <c r="A220" t="s">
        <v>223</v>
      </c>
      <c r="C220">
        <v>0</v>
      </c>
      <c r="D220">
        <v>-7.6097778830223469E-3</v>
      </c>
      <c r="E220">
        <v>0</v>
      </c>
      <c r="F220">
        <v>-7.6097778830223469E-3</v>
      </c>
    </row>
    <row r="221" spans="1:6">
      <c r="A221" t="s">
        <v>224</v>
      </c>
      <c r="C221">
        <v>2.2455187982309789E-4</v>
      </c>
      <c r="D221">
        <v>3.3228566167670781E-2</v>
      </c>
      <c r="E221">
        <v>2.7869773518594599E-3</v>
      </c>
      <c r="F221">
        <v>3.6240095399353342E-2</v>
      </c>
    </row>
    <row r="222" spans="1:6">
      <c r="A222" t="s">
        <v>225</v>
      </c>
      <c r="C222">
        <v>2.1669869832295819E-4</v>
      </c>
      <c r="D222">
        <v>1.644434568595628E-2</v>
      </c>
      <c r="E222">
        <v>2.4450084354642442E-4</v>
      </c>
      <c r="F222">
        <v>1.6905545227825659E-2</v>
      </c>
    </row>
    <row r="223" spans="1:6">
      <c r="A223" t="s">
        <v>226</v>
      </c>
      <c r="C223">
        <v>1.9178657192489639E-3</v>
      </c>
      <c r="D223">
        <v>1.2128225008060199E-2</v>
      </c>
      <c r="E223">
        <v>2.4043613951544221E-4</v>
      </c>
      <c r="F223">
        <v>1.4286526866824601E-2</v>
      </c>
    </row>
    <row r="224" spans="1:6">
      <c r="A224" t="s">
        <v>227</v>
      </c>
      <c r="C224">
        <v>-8.4037867163995993E-4</v>
      </c>
      <c r="D224">
        <v>3.9857984526735311E-3</v>
      </c>
      <c r="E224">
        <v>2.3704952510624381E-4</v>
      </c>
      <c r="F224">
        <v>3.3824693061398148E-3</v>
      </c>
    </row>
    <row r="225" spans="1:6">
      <c r="A225" t="s">
        <v>228</v>
      </c>
      <c r="C225">
        <v>-4.1877284951026691E-4</v>
      </c>
      <c r="D225">
        <v>-7.9447241198658675E-3</v>
      </c>
      <c r="E225">
        <v>-9.4500166131133859E-4</v>
      </c>
      <c r="F225">
        <v>-9.3084986306874729E-3</v>
      </c>
    </row>
    <row r="226" spans="1:6">
      <c r="A226" t="s">
        <v>229</v>
      </c>
      <c r="C226">
        <v>-1.2681228685159239E-3</v>
      </c>
      <c r="D226">
        <v>8.0193724372166729E-3</v>
      </c>
      <c r="E226">
        <v>9.5388085999039795E-4</v>
      </c>
      <c r="F226">
        <v>7.705130428691147E-3</v>
      </c>
    </row>
    <row r="227" spans="1:6">
      <c r="A227" t="s">
        <v>230</v>
      </c>
      <c r="C227">
        <v>-1.2584265279828909E-3</v>
      </c>
      <c r="D227">
        <v>-7.958054588652461E-3</v>
      </c>
      <c r="E227">
        <v>1.183234101905143E-3</v>
      </c>
      <c r="F227">
        <v>-8.0332470147302087E-3</v>
      </c>
    </row>
    <row r="228" spans="1:6">
      <c r="A228" t="s">
        <v>231</v>
      </c>
      <c r="C228">
        <v>-1.2686176469077471E-3</v>
      </c>
      <c r="D228">
        <v>-1.6045002646919621E-2</v>
      </c>
      <c r="E228">
        <v>0</v>
      </c>
      <c r="F228">
        <v>-1.731362029382737E-2</v>
      </c>
    </row>
    <row r="229" spans="1:6">
      <c r="A229" t="s">
        <v>232</v>
      </c>
      <c r="C229">
        <v>-2.1516149897981169E-4</v>
      </c>
      <c r="D229">
        <v>1.2245770607696689E-2</v>
      </c>
      <c r="E229">
        <v>1.4565985418391479E-3</v>
      </c>
      <c r="F229">
        <v>1.348720765055603E-2</v>
      </c>
    </row>
    <row r="230" spans="1:6">
      <c r="A230" t="s">
        <v>233</v>
      </c>
      <c r="C230">
        <v>-8.5193752030187373E-4</v>
      </c>
      <c r="D230">
        <v>4.0253742136837391E-3</v>
      </c>
      <c r="E230">
        <v>1.4418599002303429E-3</v>
      </c>
      <c r="F230">
        <v>4.6152965936122076E-3</v>
      </c>
    </row>
    <row r="231" spans="1:6">
      <c r="A231" t="s">
        <v>234</v>
      </c>
      <c r="C231">
        <v>-1.9080531892942351E-3</v>
      </c>
      <c r="D231">
        <v>1.6027525072862141E-2</v>
      </c>
      <c r="E231">
        <v>-1.1960298842081741E-3</v>
      </c>
      <c r="F231">
        <v>1.2923441999359729E-2</v>
      </c>
    </row>
    <row r="232" spans="1:6">
      <c r="A232" t="s">
        <v>235</v>
      </c>
      <c r="C232">
        <v>4.1860204065000931E-4</v>
      </c>
      <c r="D232">
        <v>-7.911518486148468E-3</v>
      </c>
      <c r="E232">
        <v>1.8892324290134151E-3</v>
      </c>
      <c r="F232">
        <v>-5.6036840164850436E-3</v>
      </c>
    </row>
    <row r="233" spans="1:6">
      <c r="A233" t="s">
        <v>236</v>
      </c>
      <c r="C233">
        <v>6.3144145938833429E-4</v>
      </c>
      <c r="D233">
        <v>7.9561019675777091E-3</v>
      </c>
      <c r="E233">
        <v>-2.3748484364919141E-4</v>
      </c>
      <c r="F233">
        <v>8.3500585833168519E-3</v>
      </c>
    </row>
    <row r="234" spans="1:6">
      <c r="A234" t="s">
        <v>237</v>
      </c>
      <c r="C234">
        <v>-1.461162611830906E-3</v>
      </c>
      <c r="D234">
        <v>-1.1835327275265369E-2</v>
      </c>
      <c r="E234">
        <v>0</v>
      </c>
      <c r="F234">
        <v>-1.329648988709627E-2</v>
      </c>
    </row>
    <row r="235" spans="1:6">
      <c r="A235" t="s">
        <v>238</v>
      </c>
      <c r="C235">
        <v>0</v>
      </c>
      <c r="D235">
        <v>-2.7987904531854679E-2</v>
      </c>
      <c r="E235">
        <v>-1.432152110720042E-3</v>
      </c>
      <c r="F235">
        <v>-2.942005664257473E-2</v>
      </c>
    </row>
    <row r="236" spans="1:6">
      <c r="A236" t="s">
        <v>239</v>
      </c>
      <c r="C236">
        <v>1.961665863631926E-3</v>
      </c>
      <c r="D236">
        <v>3.7075203263871218E-2</v>
      </c>
      <c r="E236">
        <v>9.8370884371526608E-4</v>
      </c>
      <c r="F236">
        <v>4.0020577971218413E-2</v>
      </c>
    </row>
    <row r="237" spans="1:6">
      <c r="A237" t="s">
        <v>240</v>
      </c>
      <c r="C237">
        <v>0</v>
      </c>
      <c r="D237">
        <v>0</v>
      </c>
      <c r="E237">
        <v>-2.36463793253543E-4</v>
      </c>
      <c r="F237">
        <v>-2.36463793253543E-4</v>
      </c>
    </row>
    <row r="238" spans="1:6">
      <c r="A238" t="s">
        <v>241</v>
      </c>
      <c r="C238">
        <v>4.1925021653010079E-4</v>
      </c>
      <c r="D238">
        <v>3.961884458624612E-3</v>
      </c>
      <c r="E238">
        <v>2.3651972160409281E-4</v>
      </c>
      <c r="F238">
        <v>4.6176543967588052E-3</v>
      </c>
    </row>
    <row r="239" spans="1:6">
      <c r="A239" t="s">
        <v>242</v>
      </c>
      <c r="C239">
        <v>4.1732316239440098E-4</v>
      </c>
      <c r="D239">
        <v>0</v>
      </c>
      <c r="E239">
        <v>4.7086515067489118E-4</v>
      </c>
      <c r="F239">
        <v>8.8818831306929221E-4</v>
      </c>
    </row>
    <row r="240" spans="1:6">
      <c r="A240" t="s">
        <v>243</v>
      </c>
      <c r="C240">
        <v>-4.1695282976390348E-4</v>
      </c>
      <c r="D240">
        <v>3.9401743185565183E-3</v>
      </c>
      <c r="E240">
        <v>4.7044730487678471E-4</v>
      </c>
      <c r="F240">
        <v>3.9936687936693999E-3</v>
      </c>
    </row>
    <row r="241" spans="1:6">
      <c r="A241" t="s">
        <v>244</v>
      </c>
      <c r="C241">
        <v>-6.2294142292483633E-4</v>
      </c>
      <c r="D241">
        <v>0</v>
      </c>
      <c r="E241">
        <v>-4.6857596765728822E-4</v>
      </c>
      <c r="F241">
        <v>-1.091517390582125E-3</v>
      </c>
    </row>
    <row r="242" spans="1:6">
      <c r="A242" t="s">
        <v>245</v>
      </c>
      <c r="C242">
        <v>-4.1574807820735532E-4</v>
      </c>
      <c r="D242">
        <v>-1.1786368508419199E-2</v>
      </c>
      <c r="E242">
        <v>-2.3454399267550601E-4</v>
      </c>
      <c r="F242">
        <v>-1.243666057930207E-2</v>
      </c>
    </row>
    <row r="243" spans="1:6">
      <c r="A243" t="s">
        <v>246</v>
      </c>
      <c r="C243">
        <v>-6.3147556457173479E-4</v>
      </c>
      <c r="D243">
        <v>-7.9565316896251306E-3</v>
      </c>
      <c r="E243">
        <v>-3.087469717709606E-3</v>
      </c>
      <c r="F243">
        <v>-1.1675476971906471E-2</v>
      </c>
    </row>
    <row r="244" spans="1:6">
      <c r="A244" t="s">
        <v>247</v>
      </c>
      <c r="C244">
        <v>-6.398272057094352E-4</v>
      </c>
      <c r="D244">
        <v>8.0617615688169855E-3</v>
      </c>
      <c r="E244">
        <v>7.0640832844085031E-4</v>
      </c>
      <c r="F244">
        <v>8.1283426915484003E-3</v>
      </c>
    </row>
    <row r="245" spans="1:6">
      <c r="A245" t="s">
        <v>248</v>
      </c>
      <c r="C245">
        <v>1.480892941338653E-3</v>
      </c>
      <c r="D245">
        <v>3.9983805768684738E-2</v>
      </c>
      <c r="E245">
        <v>2.8028507820932729E-3</v>
      </c>
      <c r="F245">
        <v>4.4267549492116663E-2</v>
      </c>
    </row>
    <row r="246" spans="1:6">
      <c r="A246" t="s">
        <v>249</v>
      </c>
      <c r="C246">
        <v>2.2284686337119808E-3</v>
      </c>
      <c r="D246">
        <v>3.8288852112785669E-3</v>
      </c>
      <c r="E246">
        <v>2.9077047180847671E-3</v>
      </c>
      <c r="F246">
        <v>8.9650585630753152E-3</v>
      </c>
    </row>
    <row r="247" spans="1:6">
      <c r="A247" t="s">
        <v>250</v>
      </c>
      <c r="C247">
        <v>-8.031519263856263E-4</v>
      </c>
      <c r="D247">
        <v>-1.8974320164919789E-2</v>
      </c>
      <c r="E247">
        <v>-8.8672879918108886E-4</v>
      </c>
      <c r="F247">
        <v>-2.0664200890486501E-2</v>
      </c>
    </row>
    <row r="248" spans="1:6">
      <c r="A248" t="s">
        <v>251</v>
      </c>
      <c r="C248">
        <v>-2.050246521969056E-3</v>
      </c>
      <c r="D248">
        <v>-3.8749364992421769E-3</v>
      </c>
      <c r="E248">
        <v>-1.358158457988624E-3</v>
      </c>
      <c r="F248">
        <v>-7.2833414791998556E-3</v>
      </c>
    </row>
    <row r="249" spans="1:6">
      <c r="A249" t="s">
        <v>252</v>
      </c>
      <c r="C249">
        <v>-6.1958661750192556E-4</v>
      </c>
      <c r="D249">
        <v>0</v>
      </c>
      <c r="E249">
        <v>1.1401024706052169E-3</v>
      </c>
      <c r="F249">
        <v>5.2051585310329117E-4</v>
      </c>
    </row>
    <row r="250" spans="1:6">
      <c r="A250" t="s">
        <v>253</v>
      </c>
      <c r="C250">
        <v>-4.1284285375106592E-3</v>
      </c>
      <c r="D250">
        <v>-1.9506676700942721E-2</v>
      </c>
      <c r="E250">
        <v>-3.4185280137901961E-3</v>
      </c>
      <c r="F250">
        <v>-2.705363325224357E-2</v>
      </c>
    </row>
    <row r="251" spans="1:6">
      <c r="A251" t="s">
        <v>254</v>
      </c>
      <c r="C251">
        <v>1.272966942045527E-3</v>
      </c>
      <c r="D251">
        <v>1.2029446247575111E-2</v>
      </c>
      <c r="E251">
        <v>4.6847776069674829E-4</v>
      </c>
      <c r="F251">
        <v>1.377089095031738E-2</v>
      </c>
    </row>
    <row r="252" spans="1:6">
      <c r="A252" t="s">
        <v>255</v>
      </c>
      <c r="C252">
        <v>-1.4649543721470871E-3</v>
      </c>
      <c r="D252">
        <v>-1.977673383430616E-2</v>
      </c>
      <c r="E252">
        <v>9.2422807732739961E-4</v>
      </c>
      <c r="F252">
        <v>-2.0317460129125851E-2</v>
      </c>
    </row>
    <row r="253" spans="1:6">
      <c r="A253" t="s">
        <v>256</v>
      </c>
      <c r="C253">
        <v>1.0680969982816901E-3</v>
      </c>
      <c r="D253">
        <v>3.2299007940940233E-2</v>
      </c>
      <c r="E253">
        <v>1.886790954647852E-3</v>
      </c>
      <c r="F253">
        <v>3.5253895893869777E-2</v>
      </c>
    </row>
    <row r="254" spans="1:6">
      <c r="A254" t="s">
        <v>257</v>
      </c>
      <c r="C254">
        <v>0</v>
      </c>
      <c r="D254">
        <v>1.1699669062722641E-2</v>
      </c>
      <c r="E254">
        <v>-1.366904506806086E-3</v>
      </c>
      <c r="F254">
        <v>1.033276455591655E-2</v>
      </c>
    </row>
    <row r="255" spans="1:6">
      <c r="A255" t="s">
        <v>258</v>
      </c>
      <c r="C255">
        <v>1.838111655679415E-3</v>
      </c>
      <c r="D255">
        <v>0</v>
      </c>
      <c r="E255">
        <v>6.7646252539721268E-4</v>
      </c>
      <c r="F255">
        <v>2.514574181076628E-3</v>
      </c>
    </row>
    <row r="256" spans="1:6">
      <c r="A256" t="s">
        <v>259</v>
      </c>
      <c r="C256">
        <v>2.0372235343875861E-4</v>
      </c>
      <c r="D256">
        <v>0</v>
      </c>
      <c r="E256">
        <v>8.9968770239547439E-4</v>
      </c>
      <c r="F256">
        <v>1.1034100558342331E-3</v>
      </c>
    </row>
    <row r="257" spans="1:6">
      <c r="A257" t="s">
        <v>260</v>
      </c>
      <c r="C257">
        <v>6.104934357202814E-4</v>
      </c>
      <c r="D257">
        <v>1.1538238310719489E-2</v>
      </c>
      <c r="E257">
        <v>0</v>
      </c>
      <c r="F257">
        <v>1.2148731746439779E-2</v>
      </c>
    </row>
    <row r="258" spans="1:6">
      <c r="A258" t="s">
        <v>261</v>
      </c>
      <c r="C258">
        <v>-5.8306021241692997E-3</v>
      </c>
      <c r="D258">
        <v>-4.9398898710777697E-2</v>
      </c>
      <c r="E258">
        <v>1.553840929566698E-3</v>
      </c>
      <c r="F258">
        <v>-5.3675659905380299E-2</v>
      </c>
    </row>
    <row r="259" spans="1:6">
      <c r="A259" t="s">
        <v>262</v>
      </c>
      <c r="C259">
        <v>-2.1245912964777751E-4</v>
      </c>
      <c r="D259">
        <v>2.0077235279949038E-2</v>
      </c>
      <c r="E259">
        <v>-4.6913572069844588E-4</v>
      </c>
      <c r="F259">
        <v>1.939564042960281E-2</v>
      </c>
    </row>
    <row r="260" spans="1:6">
      <c r="A260" t="s">
        <v>263</v>
      </c>
      <c r="C260">
        <v>2.5010010389085952E-3</v>
      </c>
      <c r="D260">
        <v>1.181714016639579E-2</v>
      </c>
      <c r="E260">
        <v>1.61073380866391E-3</v>
      </c>
      <c r="F260">
        <v>1.592887501396829E-2</v>
      </c>
    </row>
    <row r="261" spans="1:6">
      <c r="A261" t="s">
        <v>264</v>
      </c>
      <c r="C261">
        <v>8.2059584432824548E-4</v>
      </c>
      <c r="D261">
        <v>3.8772859193295121E-3</v>
      </c>
      <c r="E261">
        <v>0</v>
      </c>
      <c r="F261">
        <v>4.6978817636577578E-3</v>
      </c>
    </row>
    <row r="262" spans="1:6">
      <c r="A262" t="s">
        <v>265</v>
      </c>
      <c r="C262">
        <v>2.0418970200468678E-3</v>
      </c>
      <c r="D262">
        <v>7.7183121209000276E-3</v>
      </c>
      <c r="E262">
        <v>0</v>
      </c>
      <c r="F262">
        <v>9.7602091409468971E-3</v>
      </c>
    </row>
    <row r="263" spans="1:6">
      <c r="A263" t="s">
        <v>266</v>
      </c>
      <c r="C263">
        <v>-1.617728249984428E-3</v>
      </c>
      <c r="D263">
        <v>-1.5287415865725939E-2</v>
      </c>
      <c r="E263">
        <v>-2.009329684778616E-3</v>
      </c>
      <c r="F263">
        <v>-1.8914473800488989E-2</v>
      </c>
    </row>
    <row r="264" spans="1:6">
      <c r="A264" t="s">
        <v>267</v>
      </c>
      <c r="C264">
        <v>2.061145800727381E-3</v>
      </c>
      <c r="D264">
        <v>3.8955359796575819E-3</v>
      </c>
      <c r="E264">
        <v>1.3653785398046281E-3</v>
      </c>
      <c r="F264">
        <v>7.322060320189591E-3</v>
      </c>
    </row>
    <row r="265" spans="1:6">
      <c r="A265" t="s">
        <v>268</v>
      </c>
      <c r="C265">
        <v>-8.1846546677324678E-4</v>
      </c>
      <c r="D265">
        <v>-7.7344399236513039E-3</v>
      </c>
      <c r="E265">
        <v>-1.1295448542797939E-3</v>
      </c>
      <c r="F265">
        <v>-9.682450244704344E-3</v>
      </c>
    </row>
    <row r="266" spans="1:6">
      <c r="A266" t="s">
        <v>269</v>
      </c>
      <c r="C266">
        <v>1.23970154872367E-3</v>
      </c>
      <c r="D266">
        <v>-7.8100604453212614E-3</v>
      </c>
      <c r="E266">
        <v>1.5968239645782921E-3</v>
      </c>
      <c r="F266">
        <v>-4.9735349320192976E-3</v>
      </c>
    </row>
    <row r="267" spans="1:6">
      <c r="A267" t="s">
        <v>270</v>
      </c>
      <c r="C267">
        <v>-8.30598710852026E-4</v>
      </c>
      <c r="D267">
        <v>-2.354729462835245E-2</v>
      </c>
      <c r="E267">
        <v>-6.8777379466952704E-4</v>
      </c>
      <c r="F267">
        <v>-2.5065667133873999E-2</v>
      </c>
    </row>
    <row r="268" spans="1:6">
      <c r="A268" t="s">
        <v>271</v>
      </c>
      <c r="C268">
        <v>1.916895360452632E-3</v>
      </c>
      <c r="D268">
        <v>2.0127248433173761E-2</v>
      </c>
      <c r="E268">
        <v>1.881217422162441E-3</v>
      </c>
      <c r="F268">
        <v>2.392536121578883E-2</v>
      </c>
    </row>
    <row r="269" spans="1:6">
      <c r="A269" t="s">
        <v>272</v>
      </c>
      <c r="C269">
        <v>4.160232404649643E-4</v>
      </c>
      <c r="D269">
        <v>1.179416929918118E-2</v>
      </c>
      <c r="E269">
        <v>-4.5931507642527769E-4</v>
      </c>
      <c r="F269">
        <v>1.1750877463220869E-2</v>
      </c>
    </row>
    <row r="270" spans="1:6">
      <c r="A270" t="s">
        <v>273</v>
      </c>
      <c r="C270">
        <v>-2.0559569046683999E-4</v>
      </c>
      <c r="D270">
        <v>-7.7714580811651234E-3</v>
      </c>
      <c r="E270">
        <v>2.269902041384563E-4</v>
      </c>
      <c r="F270">
        <v>-7.7500635674935068E-3</v>
      </c>
    </row>
    <row r="271" spans="1:6">
      <c r="A271" t="s">
        <v>274</v>
      </c>
      <c r="C271">
        <v>-4.1440303076466819E-4</v>
      </c>
      <c r="D271">
        <v>-7.8321578020012737E-3</v>
      </c>
      <c r="E271">
        <v>-1.8301050636864121E-3</v>
      </c>
      <c r="F271">
        <v>-1.007666589645235E-2</v>
      </c>
    </row>
    <row r="272" spans="1:6">
      <c r="A272" t="s">
        <v>275</v>
      </c>
      <c r="C272">
        <v>4.1862133812609059E-4</v>
      </c>
      <c r="D272">
        <v>1.186782480851494E-2</v>
      </c>
      <c r="E272">
        <v>4.6218353498650319E-4</v>
      </c>
      <c r="F272">
        <v>1.274862968162754E-2</v>
      </c>
    </row>
    <row r="273" spans="1:6">
      <c r="A273" t="s">
        <v>276</v>
      </c>
      <c r="C273">
        <v>4.1335167074744929E-4</v>
      </c>
      <c r="D273">
        <v>-1.562457449715601E-2</v>
      </c>
      <c r="E273">
        <v>1.597279250786339E-3</v>
      </c>
      <c r="F273">
        <v>-1.361394357562223E-2</v>
      </c>
    </row>
    <row r="274" spans="1:6">
      <c r="A274" t="s">
        <v>277</v>
      </c>
      <c r="C274">
        <v>-2.72386845126131E-3</v>
      </c>
      <c r="D274">
        <v>-1.5840222391012571E-2</v>
      </c>
      <c r="E274">
        <v>2.3133209216226179E-4</v>
      </c>
      <c r="F274">
        <v>-1.833275875011162E-2</v>
      </c>
    </row>
    <row r="275" spans="1:6">
      <c r="A275" t="s">
        <v>278</v>
      </c>
      <c r="C275">
        <v>1.2806478627397509E-3</v>
      </c>
      <c r="D275">
        <v>4.0340101323041808E-3</v>
      </c>
      <c r="E275">
        <v>4.7130449594655468E-4</v>
      </c>
      <c r="F275">
        <v>5.7859624909904856E-3</v>
      </c>
    </row>
    <row r="276" spans="1:6">
      <c r="A276" t="s">
        <v>279</v>
      </c>
      <c r="C276">
        <v>-2.7587748680286258E-3</v>
      </c>
      <c r="D276">
        <v>-1.6043215088479879E-2</v>
      </c>
      <c r="E276">
        <v>-2.1086695488439912E-3</v>
      </c>
      <c r="F276">
        <v>-2.0910659505352501E-2</v>
      </c>
    </row>
    <row r="277" spans="1:6">
      <c r="A277" t="s">
        <v>280</v>
      </c>
      <c r="C277">
        <v>-1.7339659833665809E-3</v>
      </c>
      <c r="D277">
        <v>-1.638585410436055E-2</v>
      </c>
      <c r="E277">
        <v>-2.153704939509061E-3</v>
      </c>
      <c r="F277">
        <v>-2.027352502723619E-2</v>
      </c>
    </row>
    <row r="278" spans="1:6">
      <c r="A278" t="s">
        <v>281</v>
      </c>
      <c r="C278">
        <v>2.2123087765577441E-4</v>
      </c>
      <c r="D278">
        <v>-1.6724927337312259E-2</v>
      </c>
      <c r="E278">
        <v>1.7097668427169411E-3</v>
      </c>
      <c r="F278">
        <v>-1.479392961693954E-2</v>
      </c>
    </row>
    <row r="279" spans="1:6">
      <c r="A279" t="s">
        <v>282</v>
      </c>
      <c r="C279">
        <v>1.3473173844925079E-3</v>
      </c>
      <c r="D279">
        <v>1.697607012389743E-2</v>
      </c>
      <c r="E279">
        <v>0</v>
      </c>
      <c r="F279">
        <v>1.8323387508389941E-2</v>
      </c>
    </row>
    <row r="280" spans="1:6">
      <c r="A280" t="s">
        <v>283</v>
      </c>
      <c r="C280">
        <v>0</v>
      </c>
      <c r="D280">
        <v>-1.250295608360283E-2</v>
      </c>
      <c r="E280">
        <v>-4.8691824607610332E-4</v>
      </c>
      <c r="F280">
        <v>-1.2989874329678941E-2</v>
      </c>
    </row>
    <row r="281" spans="1:6">
      <c r="A281" t="s">
        <v>284</v>
      </c>
      <c r="C281">
        <v>-6.7024347021104182E-4</v>
      </c>
      <c r="D281">
        <v>0</v>
      </c>
      <c r="E281">
        <v>-1.4799794857588201E-3</v>
      </c>
      <c r="F281">
        <v>-2.1502229559698621E-3</v>
      </c>
    </row>
    <row r="282" spans="1:6">
      <c r="A282" t="s">
        <v>285</v>
      </c>
      <c r="C282">
        <v>0</v>
      </c>
      <c r="D282">
        <v>-5.9242409526611937E-3</v>
      </c>
      <c r="E282">
        <v>-3.4607268009823919E-3</v>
      </c>
      <c r="F282">
        <v>-9.384967753643586E-3</v>
      </c>
    </row>
    <row r="283" spans="1:6">
      <c r="A283" t="s">
        <v>286</v>
      </c>
      <c r="C283">
        <v>-1.5821195544649591E-3</v>
      </c>
      <c r="D283">
        <v>-2.3067127926307891E-2</v>
      </c>
      <c r="E283">
        <v>-4.9907333010724465E-4</v>
      </c>
      <c r="F283">
        <v>-2.5148320810880091E-2</v>
      </c>
    </row>
    <row r="284" spans="1:6">
      <c r="A284" t="s">
        <v>287</v>
      </c>
      <c r="C284">
        <v>9.2739063401841963E-4</v>
      </c>
      <c r="D284">
        <v>1.4898417393034959E-2</v>
      </c>
      <c r="E284">
        <v>1.279869904215514E-3</v>
      </c>
      <c r="F284">
        <v>1.7105677931268898E-2</v>
      </c>
    </row>
    <row r="285" spans="1:6">
      <c r="A285" t="s">
        <v>288</v>
      </c>
      <c r="C285">
        <v>-1.1397422290285949E-3</v>
      </c>
      <c r="D285">
        <v>-1.9817687377657808E-2</v>
      </c>
      <c r="E285">
        <v>-1.0066760471290979E-3</v>
      </c>
      <c r="F285">
        <v>-2.1964105653815499E-2</v>
      </c>
    </row>
    <row r="286" spans="1:6">
      <c r="A286" t="s">
        <v>289</v>
      </c>
      <c r="C286">
        <v>9.3227026583968947E-4</v>
      </c>
      <c r="D286">
        <v>-5.2859322645615169E-3</v>
      </c>
      <c r="E286">
        <v>5.1464166752389947E-4</v>
      </c>
      <c r="F286">
        <v>-3.8390203311979279E-3</v>
      </c>
    </row>
    <row r="287" spans="1:6">
      <c r="A287" t="s">
        <v>290</v>
      </c>
      <c r="C287">
        <v>-9.3586306316640233E-4</v>
      </c>
      <c r="D287">
        <v>9.7282226629522763E-3</v>
      </c>
      <c r="E287">
        <v>1.2915625035197741E-3</v>
      </c>
      <c r="F287">
        <v>1.0083922103305651E-2</v>
      </c>
    </row>
    <row r="288" spans="1:6">
      <c r="A288" t="s">
        <v>291</v>
      </c>
      <c r="C288">
        <v>-2.3163002664611449E-4</v>
      </c>
      <c r="D288">
        <v>8.7555485153020492E-4</v>
      </c>
      <c r="E288">
        <v>2.557337019740584E-3</v>
      </c>
      <c r="F288">
        <v>3.201261844624674E-3</v>
      </c>
    </row>
    <row r="289" spans="1:6">
      <c r="A289" t="s">
        <v>292</v>
      </c>
      <c r="C289">
        <v>-1.6226088934934151E-3</v>
      </c>
      <c r="D289">
        <v>-1.6570687756747079E-2</v>
      </c>
      <c r="E289">
        <v>-5.1184553130136166E-4</v>
      </c>
      <c r="F289">
        <v>-1.8705142181541859E-2</v>
      </c>
    </row>
    <row r="290" spans="1:6">
      <c r="A290" t="s">
        <v>293</v>
      </c>
      <c r="C290">
        <v>9.4487918142925045E-4</v>
      </c>
      <c r="D290">
        <v>2.9329276496026992E-2</v>
      </c>
      <c r="E290">
        <v>1.0432043482613549E-3</v>
      </c>
      <c r="F290">
        <v>3.131736002571759E-2</v>
      </c>
    </row>
    <row r="291" spans="1:6">
      <c r="A291" t="s">
        <v>294</v>
      </c>
      <c r="C291">
        <v>-4.5809331736919881E-4</v>
      </c>
      <c r="D291">
        <v>-1.1203105712520599E-2</v>
      </c>
      <c r="E291">
        <v>-2.5288150590118557E-4</v>
      </c>
      <c r="F291">
        <v>-1.191408053579098E-2</v>
      </c>
    </row>
    <row r="292" spans="1:6">
      <c r="A292" t="s">
        <v>295</v>
      </c>
      <c r="C292">
        <v>-9.2723377258042592E-4</v>
      </c>
      <c r="D292">
        <v>0</v>
      </c>
      <c r="E292">
        <v>0</v>
      </c>
      <c r="F292">
        <v>-9.2723377258042592E-4</v>
      </c>
    </row>
    <row r="293" spans="1:6">
      <c r="A293" t="s">
        <v>296</v>
      </c>
      <c r="C293">
        <v>9.2809433299011472E-4</v>
      </c>
      <c r="D293">
        <v>1.5713602239978881E-2</v>
      </c>
      <c r="E293">
        <v>2.3055139125743719E-3</v>
      </c>
      <c r="F293">
        <v>1.8947210485543368E-2</v>
      </c>
    </row>
    <row r="294" spans="1:6">
      <c r="A294" t="s">
        <v>297</v>
      </c>
      <c r="C294">
        <v>4.5541826084781359E-4</v>
      </c>
      <c r="D294">
        <v>-8.5674497485013212E-3</v>
      </c>
      <c r="E294">
        <v>-5.0280958595724627E-4</v>
      </c>
      <c r="F294">
        <v>-8.6148410736107545E-3</v>
      </c>
    </row>
    <row r="295" spans="1:6">
      <c r="A295" t="s">
        <v>298</v>
      </c>
      <c r="C295">
        <v>-2.5265664026840229E-3</v>
      </c>
      <c r="D295">
        <v>-1.901217632419935E-2</v>
      </c>
      <c r="E295">
        <v>-1.5215365534675511E-3</v>
      </c>
      <c r="F295">
        <v>-2.3060279280350919E-2</v>
      </c>
    </row>
    <row r="296" spans="1:6">
      <c r="A296" t="s">
        <v>299</v>
      </c>
      <c r="C296">
        <v>-3.0564241057405078E-3</v>
      </c>
      <c r="D296">
        <v>-5.3075321716772378E-3</v>
      </c>
      <c r="E296">
        <v>-1.038301218384782E-3</v>
      </c>
      <c r="F296">
        <v>-9.4022574958025282E-3</v>
      </c>
    </row>
    <row r="297" spans="1:6">
      <c r="A297" t="s">
        <v>300</v>
      </c>
      <c r="C297">
        <v>-3.797457418000162E-3</v>
      </c>
      <c r="D297">
        <v>-3.7505360256343649E-2</v>
      </c>
      <c r="E297">
        <v>-3.930585950155681E-3</v>
      </c>
      <c r="F297">
        <v>-4.5233403624499492E-2</v>
      </c>
    </row>
    <row r="298" spans="1:6">
      <c r="A298" t="s">
        <v>301</v>
      </c>
      <c r="C298">
        <v>2.9830254580670238E-3</v>
      </c>
      <c r="D298">
        <v>3.1799899815867991E-2</v>
      </c>
      <c r="E298">
        <v>3.8423494294192559E-3</v>
      </c>
      <c r="F298">
        <v>3.8625274703354272E-2</v>
      </c>
    </row>
    <row r="299" spans="1:6">
      <c r="A299" t="s">
        <v>302</v>
      </c>
      <c r="C299">
        <v>7.1802254641815282E-4</v>
      </c>
      <c r="D299">
        <v>-1.801017544700273E-3</v>
      </c>
      <c r="E299">
        <v>-1.3212346038430061E-3</v>
      </c>
      <c r="F299">
        <v>-2.404229602125127E-3</v>
      </c>
    </row>
    <row r="300" spans="1:6">
      <c r="A300" t="s">
        <v>303</v>
      </c>
      <c r="C300">
        <v>-7.1975299788187884E-3</v>
      </c>
      <c r="D300">
        <v>-8.4851827877289857E-2</v>
      </c>
      <c r="E300">
        <v>-7.4167453402192154E-3</v>
      </c>
      <c r="F300">
        <v>-9.9466103196327857E-2</v>
      </c>
    </row>
    <row r="301" spans="1:6">
      <c r="A301" t="s">
        <v>304</v>
      </c>
      <c r="C301">
        <v>-7.1932628010216316E-3</v>
      </c>
      <c r="D301">
        <v>-3.2076225827371442E-2</v>
      </c>
      <c r="E301">
        <v>-2.0589856102429869E-3</v>
      </c>
      <c r="F301">
        <v>-4.1328474238636052E-2</v>
      </c>
    </row>
    <row r="302" spans="1:6">
      <c r="A302" t="s">
        <v>305</v>
      </c>
      <c r="C302">
        <v>-6.9475605986887463E-3</v>
      </c>
      <c r="D302">
        <v>-3.2413441867471388E-2</v>
      </c>
      <c r="E302">
        <v>-4.6023188374612637E-3</v>
      </c>
      <c r="F302">
        <v>-4.3963321303621412E-2</v>
      </c>
    </row>
    <row r="303" spans="1:6">
      <c r="A303" t="s">
        <v>306</v>
      </c>
      <c r="C303">
        <v>6.394998709864097E-3</v>
      </c>
      <c r="D303">
        <v>8.5306771105645857E-2</v>
      </c>
      <c r="E303">
        <v>7.3813997322046496E-3</v>
      </c>
      <c r="F303">
        <v>9.9083169547714608E-2</v>
      </c>
    </row>
    <row r="304" spans="1:6">
      <c r="A304" t="s">
        <v>307</v>
      </c>
      <c r="C304">
        <v>5.8184847944634721E-3</v>
      </c>
      <c r="D304">
        <v>2.5872100634795621E-2</v>
      </c>
      <c r="E304">
        <v>4.9639711939304691E-3</v>
      </c>
      <c r="F304">
        <v>3.665455662318956E-2</v>
      </c>
    </row>
    <row r="305" spans="1:6">
      <c r="A305" t="s">
        <v>308</v>
      </c>
      <c r="C305">
        <v>2.041000677626156E-3</v>
      </c>
      <c r="D305">
        <v>-2.3037509356344271E-2</v>
      </c>
      <c r="E305">
        <v>8.4502104484008732E-4</v>
      </c>
      <c r="F305">
        <v>-2.0151487633878029E-2</v>
      </c>
    </row>
    <row r="306" spans="1:6">
      <c r="A306" t="s">
        <v>309</v>
      </c>
      <c r="C306">
        <v>5.2074393436021588E-4</v>
      </c>
      <c r="D306">
        <v>1.1755648483209759E-2</v>
      </c>
      <c r="E306">
        <v>-8.6239968135436011E-4</v>
      </c>
      <c r="F306">
        <v>1.1413992736215611E-2</v>
      </c>
    </row>
    <row r="307" spans="1:6">
      <c r="A307" t="s">
        <v>310</v>
      </c>
      <c r="C307">
        <v>-1.8020353518444E-3</v>
      </c>
      <c r="D307">
        <v>-2.1308803688697649E-2</v>
      </c>
      <c r="E307">
        <v>-1.136889790000866E-3</v>
      </c>
      <c r="F307">
        <v>-2.4247728830542908E-2</v>
      </c>
    </row>
    <row r="308" spans="1:6">
      <c r="A308" t="s">
        <v>311</v>
      </c>
      <c r="C308">
        <v>-7.914927670632574E-4</v>
      </c>
      <c r="D308">
        <v>-7.9412122479737973E-3</v>
      </c>
      <c r="E308">
        <v>-1.4564272915274421E-3</v>
      </c>
      <c r="F308">
        <v>-1.01891323065645E-2</v>
      </c>
    </row>
    <row r="309" spans="1:6">
      <c r="A309" t="s">
        <v>312</v>
      </c>
      <c r="C309">
        <v>5.330936059920751E-4</v>
      </c>
      <c r="D309">
        <v>3.008609715439604E-3</v>
      </c>
      <c r="E309">
        <v>1.471419782368491E-3</v>
      </c>
      <c r="F309">
        <v>5.0131231038001694E-3</v>
      </c>
    </row>
    <row r="310" spans="1:6">
      <c r="A310" t="s">
        <v>313</v>
      </c>
      <c r="C310">
        <v>5.3043447268202079E-4</v>
      </c>
      <c r="D310">
        <v>-1.4968012089971819E-2</v>
      </c>
      <c r="E310">
        <v>-1.1712641346009721E-3</v>
      </c>
      <c r="F310">
        <v>-1.560884175189077E-2</v>
      </c>
    </row>
    <row r="311" spans="1:6">
      <c r="A311" t="s">
        <v>314</v>
      </c>
      <c r="C311">
        <v>-2.424803501198735E-3</v>
      </c>
      <c r="D311">
        <v>-1.9260109989582379E-2</v>
      </c>
      <c r="E311">
        <v>-2.6771312204207811E-3</v>
      </c>
      <c r="F311">
        <v>-2.4362044711201899E-2</v>
      </c>
    </row>
    <row r="312" spans="1:6">
      <c r="A312" t="s">
        <v>315</v>
      </c>
      <c r="C312">
        <v>3.866102724861428E-3</v>
      </c>
      <c r="D312">
        <v>5.9223126422591463E-2</v>
      </c>
      <c r="E312">
        <v>4.2684136264912534E-3</v>
      </c>
      <c r="F312">
        <v>6.7357642773944154E-2</v>
      </c>
    </row>
    <row r="313" spans="1:6">
      <c r="A313" t="s">
        <v>316</v>
      </c>
      <c r="C313">
        <v>-1.2936160456736669E-3</v>
      </c>
      <c r="D313">
        <v>-8.7609059857008606E-3</v>
      </c>
      <c r="E313">
        <v>-2.285169846644103E-3</v>
      </c>
      <c r="F313">
        <v>-1.233969187801863E-2</v>
      </c>
    </row>
    <row r="314" spans="1:6">
      <c r="A314" t="s">
        <v>317</v>
      </c>
      <c r="C314">
        <v>1.3097783064031951E-3</v>
      </c>
      <c r="D314">
        <v>2.3654302769635632E-2</v>
      </c>
      <c r="E314">
        <v>2.8921505550189019E-3</v>
      </c>
      <c r="F314">
        <v>2.7856231631057729E-2</v>
      </c>
    </row>
    <row r="315" spans="1:6">
      <c r="A315" t="s">
        <v>318</v>
      </c>
      <c r="C315">
        <v>1.7839942713142631E-3</v>
      </c>
      <c r="D315">
        <v>8.6299652282473306E-3</v>
      </c>
      <c r="E315">
        <v>-1.688261723390721E-3</v>
      </c>
      <c r="F315">
        <v>8.7256977761708734E-3</v>
      </c>
    </row>
    <row r="316" spans="1:6">
      <c r="A316" t="s">
        <v>319</v>
      </c>
      <c r="C316">
        <v>2.5265176155948101E-4</v>
      </c>
      <c r="D316">
        <v>4.75295230147683E-3</v>
      </c>
      <c r="E316">
        <v>1.1157719269719211E-3</v>
      </c>
      <c r="F316">
        <v>6.1213759900082317E-3</v>
      </c>
    </row>
    <row r="317" spans="1:6">
      <c r="A317" t="s">
        <v>320</v>
      </c>
      <c r="C317">
        <v>-7.5334378412607165E-4</v>
      </c>
      <c r="D317">
        <v>5.668841650601047E-3</v>
      </c>
      <c r="E317">
        <v>-1.108983422476258E-3</v>
      </c>
      <c r="F317">
        <v>3.806514443998718E-3</v>
      </c>
    </row>
    <row r="318" spans="1:6">
      <c r="A318" t="s">
        <v>321</v>
      </c>
      <c r="C318">
        <v>3.0019481774068522E-3</v>
      </c>
      <c r="D318">
        <v>3.953141465333769E-2</v>
      </c>
      <c r="E318">
        <v>-2.761945171999894E-3</v>
      </c>
      <c r="F318">
        <v>3.9771417658744652E-2</v>
      </c>
    </row>
    <row r="319" spans="1:6">
      <c r="A319" t="s">
        <v>322</v>
      </c>
      <c r="C319">
        <v>-2.4059359958223188E-3</v>
      </c>
      <c r="D319">
        <v>-1.0862666264077451E-2</v>
      </c>
      <c r="E319">
        <v>-2.6563003416837249E-4</v>
      </c>
      <c r="F319">
        <v>-1.353423229406814E-2</v>
      </c>
    </row>
    <row r="320" spans="1:6">
      <c r="A320" t="s">
        <v>323</v>
      </c>
      <c r="C320">
        <v>1.7072616731467511E-3</v>
      </c>
      <c r="D320">
        <v>-1.6517551778820021E-2</v>
      </c>
      <c r="E320">
        <v>-8.0782337166987505E-4</v>
      </c>
      <c r="F320">
        <v>-1.5618113477343151E-2</v>
      </c>
    </row>
    <row r="321" spans="1:6">
      <c r="A321" t="s">
        <v>324</v>
      </c>
      <c r="C321">
        <v>-4.9552826616265991E-4</v>
      </c>
      <c r="D321">
        <v>7.457607890218979E-3</v>
      </c>
      <c r="E321">
        <v>-2.7354674126980091E-4</v>
      </c>
      <c r="F321">
        <v>6.688532882786518E-3</v>
      </c>
    </row>
    <row r="322" spans="1:6">
      <c r="A322" t="s">
        <v>325</v>
      </c>
      <c r="C322">
        <v>4.9223592995904005E-4</v>
      </c>
      <c r="D322">
        <v>-9.2600735562954218E-3</v>
      </c>
      <c r="E322">
        <v>8.1518781331440247E-4</v>
      </c>
      <c r="F322">
        <v>-7.9526498130219805E-3</v>
      </c>
    </row>
    <row r="323" spans="1:6">
      <c r="A323" t="s">
        <v>326</v>
      </c>
      <c r="C323">
        <v>4.961818907799762E-4</v>
      </c>
      <c r="D323">
        <v>2.8936348672374702E-2</v>
      </c>
      <c r="E323">
        <v>1.917352934187166E-3</v>
      </c>
      <c r="F323">
        <v>3.1349883497341843E-2</v>
      </c>
    </row>
    <row r="324" spans="1:6">
      <c r="A324" t="s">
        <v>327</v>
      </c>
      <c r="C324">
        <v>2.886596869128876E-3</v>
      </c>
      <c r="D324">
        <v>7.2404573250689558E-3</v>
      </c>
      <c r="E324">
        <v>-5.3116321901915261E-4</v>
      </c>
      <c r="F324">
        <v>9.5958909751786784E-3</v>
      </c>
    </row>
    <row r="325" spans="1:6">
      <c r="A325" t="s">
        <v>328</v>
      </c>
      <c r="C325">
        <v>2.3826338958424609E-3</v>
      </c>
      <c r="D325">
        <v>1.075745858782467E-2</v>
      </c>
      <c r="E325">
        <v>2.10445871964117E-3</v>
      </c>
      <c r="F325">
        <v>1.5244551203308299E-2</v>
      </c>
    </row>
    <row r="326" spans="1:6">
      <c r="A326" t="s">
        <v>329</v>
      </c>
      <c r="C326">
        <v>2.3468571124252461E-3</v>
      </c>
      <c r="D326">
        <v>2.6489821036405709E-2</v>
      </c>
      <c r="E326">
        <v>2.59107364470324E-4</v>
      </c>
      <c r="F326">
        <v>2.9095785513301279E-2</v>
      </c>
    </row>
    <row r="327" spans="1:6">
      <c r="A327" t="s">
        <v>330</v>
      </c>
      <c r="C327">
        <v>-1.5963528388936721E-3</v>
      </c>
      <c r="D327">
        <v>-5.1481740396386701E-3</v>
      </c>
      <c r="E327">
        <v>5.0356316315314481E-4</v>
      </c>
      <c r="F327">
        <v>-6.2409637153791973E-3</v>
      </c>
    </row>
    <row r="328" spans="1:6">
      <c r="A328" t="s">
        <v>331</v>
      </c>
      <c r="C328">
        <v>-6.8844779437333341E-4</v>
      </c>
      <c r="D328">
        <v>4.3170878214821998E-3</v>
      </c>
      <c r="E328">
        <v>-2.53362809678603E-4</v>
      </c>
      <c r="F328">
        <v>3.3752772174302629E-3</v>
      </c>
    </row>
    <row r="329" spans="1:6">
      <c r="A329" t="s">
        <v>332</v>
      </c>
      <c r="C329">
        <v>-1.8296850905942009E-3</v>
      </c>
      <c r="D329">
        <v>-1.2047183316766869E-2</v>
      </c>
      <c r="E329">
        <v>-2.7776156835292399E-3</v>
      </c>
      <c r="F329">
        <v>-1.665448409089031E-2</v>
      </c>
    </row>
    <row r="330" spans="1:6">
      <c r="A330" t="s">
        <v>333</v>
      </c>
      <c r="C330">
        <v>0</v>
      </c>
      <c r="D330">
        <v>-5.2505233214546754E-3</v>
      </c>
      <c r="E330">
        <v>2.5678717459857298E-4</v>
      </c>
      <c r="F330">
        <v>-4.9937361468561014E-3</v>
      </c>
    </row>
    <row r="331" spans="1:6">
      <c r="A331" t="s">
        <v>334</v>
      </c>
      <c r="C331">
        <v>4.675029992012466E-4</v>
      </c>
      <c r="D331">
        <v>1.055374928218465E-2</v>
      </c>
      <c r="E331">
        <v>1.2903796886874321E-3</v>
      </c>
      <c r="F331">
        <v>1.2311631970073331E-2</v>
      </c>
    </row>
    <row r="332" spans="1:6">
      <c r="A332" t="s">
        <v>335</v>
      </c>
      <c r="C332">
        <v>-9.2363454975111301E-4</v>
      </c>
      <c r="D332">
        <v>-6.9502637652174744E-3</v>
      </c>
      <c r="E332">
        <v>-7.6481173263387686E-4</v>
      </c>
      <c r="F332">
        <v>-8.6387100476024627E-3</v>
      </c>
    </row>
    <row r="333" spans="1:6">
      <c r="A333" t="s">
        <v>336</v>
      </c>
      <c r="C333">
        <v>4.6584154491016271E-4</v>
      </c>
      <c r="D333">
        <v>1.7527070694759539E-3</v>
      </c>
      <c r="E333">
        <v>-5.1431752842303095E-4</v>
      </c>
      <c r="F333">
        <v>1.7042310859630861E-3</v>
      </c>
    </row>
    <row r="334" spans="1:6">
      <c r="A334" t="s">
        <v>337</v>
      </c>
      <c r="C334">
        <v>-4.6504899395816341E-4</v>
      </c>
      <c r="D334">
        <v>-6.9989005340461326E-3</v>
      </c>
      <c r="E334">
        <v>-1.797048763115516E-3</v>
      </c>
      <c r="F334">
        <v>-9.2609982911198117E-3</v>
      </c>
    </row>
    <row r="335" spans="1:6">
      <c r="A335" t="s">
        <v>338</v>
      </c>
      <c r="C335">
        <v>-4.6939607016179002E-4</v>
      </c>
      <c r="D335">
        <v>-9.7134444265485845E-3</v>
      </c>
      <c r="E335">
        <v>0</v>
      </c>
      <c r="F335">
        <v>-1.0182840496710369E-2</v>
      </c>
    </row>
    <row r="336" spans="1:6">
      <c r="A336" t="s">
        <v>339</v>
      </c>
      <c r="C336">
        <v>0</v>
      </c>
      <c r="D336">
        <v>1.784249533230229E-3</v>
      </c>
      <c r="E336">
        <v>0</v>
      </c>
      <c r="F336">
        <v>1.784249533230229E-3</v>
      </c>
    </row>
    <row r="337" spans="1:6">
      <c r="A337" t="s">
        <v>340</v>
      </c>
      <c r="C337">
        <v>1.893521596899656E-3</v>
      </c>
      <c r="D337">
        <v>0</v>
      </c>
      <c r="E337">
        <v>-1.0452817684185639E-3</v>
      </c>
      <c r="F337">
        <v>8.4823982848109122E-4</v>
      </c>
    </row>
    <row r="338" spans="1:6">
      <c r="A338" t="s">
        <v>341</v>
      </c>
      <c r="C338">
        <v>-1.6554271980047011E-3</v>
      </c>
      <c r="D338">
        <v>-1.8685402695278009E-2</v>
      </c>
      <c r="E338">
        <v>0</v>
      </c>
      <c r="F338">
        <v>-2.0340829893282709E-2</v>
      </c>
    </row>
    <row r="339" spans="1:6">
      <c r="A339" t="s">
        <v>342</v>
      </c>
      <c r="C339">
        <v>-4.8279974695525119E-4</v>
      </c>
      <c r="D339">
        <v>3.6330230262861629E-3</v>
      </c>
      <c r="E339">
        <v>7.9956062943627052E-4</v>
      </c>
      <c r="F339">
        <v>3.9497839087671823E-3</v>
      </c>
    </row>
    <row r="340" spans="1:6">
      <c r="A340" t="s">
        <v>343</v>
      </c>
      <c r="C340">
        <v>2.164051326192688E-3</v>
      </c>
      <c r="D340">
        <v>3.6187298254514187E-2</v>
      </c>
      <c r="E340">
        <v>0</v>
      </c>
      <c r="F340">
        <v>3.8351349580706892E-2</v>
      </c>
    </row>
    <row r="341" spans="1:6">
      <c r="A341" t="s">
        <v>344</v>
      </c>
      <c r="C341">
        <v>-2.3156915763805619E-4</v>
      </c>
      <c r="D341">
        <v>6.9701451766065216E-3</v>
      </c>
      <c r="E341">
        <v>-1.5339989932204531E-3</v>
      </c>
      <c r="F341">
        <v>5.2045770257480133E-3</v>
      </c>
    </row>
    <row r="342" spans="1:6">
      <c r="A342" t="s">
        <v>345</v>
      </c>
      <c r="C342">
        <v>-1.1518508915032749E-3</v>
      </c>
      <c r="D342">
        <v>-2.6002711298443418E-3</v>
      </c>
      <c r="E342">
        <v>1.7803992669690029E-3</v>
      </c>
      <c r="F342">
        <v>-1.9717227543786151E-3</v>
      </c>
    </row>
    <row r="343" spans="1:6">
      <c r="A343" t="s">
        <v>346</v>
      </c>
      <c r="C343">
        <v>6.9247590540150443E-4</v>
      </c>
      <c r="D343">
        <v>8.6846942420663788E-3</v>
      </c>
      <c r="E343">
        <v>2.5484523657594499E-4</v>
      </c>
      <c r="F343">
        <v>9.6320153840438287E-3</v>
      </c>
    </row>
    <row r="344" spans="1:6">
      <c r="A344" t="s">
        <v>347</v>
      </c>
      <c r="C344">
        <v>4.5724639924913659E-4</v>
      </c>
      <c r="D344">
        <v>3.440736470213019E-2</v>
      </c>
      <c r="E344">
        <v>2.524139812256319E-3</v>
      </c>
      <c r="F344">
        <v>3.7388750913635638E-2</v>
      </c>
    </row>
    <row r="345" spans="1:6">
      <c r="A345" t="s">
        <v>348</v>
      </c>
      <c r="C345">
        <v>2.203833417542056E-4</v>
      </c>
      <c r="D345">
        <v>1.6583640738261029E-2</v>
      </c>
      <c r="E345">
        <v>-9.7326669873113293E-4</v>
      </c>
      <c r="F345">
        <v>1.5830757381284099E-2</v>
      </c>
    </row>
    <row r="346" spans="1:6">
      <c r="A346" t="s">
        <v>349</v>
      </c>
      <c r="C346">
        <v>6.5084663016800085E-4</v>
      </c>
      <c r="D346">
        <v>-1.6325200450724778E-2</v>
      </c>
      <c r="E346">
        <v>-1.4371488926562771E-3</v>
      </c>
      <c r="F346">
        <v>-1.7111502713213059E-2</v>
      </c>
    </row>
    <row r="347" spans="1:6">
      <c r="A347" t="s">
        <v>350</v>
      </c>
      <c r="C347">
        <v>-4.4310760747408529E-4</v>
      </c>
      <c r="D347">
        <v>-1.2449943376256351E-2</v>
      </c>
      <c r="E347">
        <v>-1.7122625535880981E-3</v>
      </c>
      <c r="F347">
        <v>-1.460531353731853E-2</v>
      </c>
    </row>
    <row r="348" spans="1:6">
      <c r="A348" t="s">
        <v>351</v>
      </c>
      <c r="C348">
        <v>-6.7451288335752531E-4</v>
      </c>
      <c r="D348">
        <v>-4.2114912759639179E-3</v>
      </c>
      <c r="E348">
        <v>2.482344786178577E-4</v>
      </c>
      <c r="F348">
        <v>-4.6377696807035854E-3</v>
      </c>
    </row>
    <row r="349" spans="1:6">
      <c r="A349" t="s">
        <v>352</v>
      </c>
      <c r="C349">
        <v>0</v>
      </c>
      <c r="D349">
        <v>1.6924456836634991E-2</v>
      </c>
      <c r="E349">
        <v>9.9756438834625255E-4</v>
      </c>
      <c r="F349">
        <v>1.7922021224981249E-2</v>
      </c>
    </row>
    <row r="350" spans="1:6">
      <c r="A350" t="s">
        <v>353</v>
      </c>
      <c r="C350">
        <v>4.4381637640928371E-4</v>
      </c>
      <c r="D350">
        <v>8.3132383835590237E-3</v>
      </c>
      <c r="E350">
        <v>4.9000039666386732E-4</v>
      </c>
      <c r="F350">
        <v>9.2470551566321748E-3</v>
      </c>
    </row>
    <row r="351" spans="1:6">
      <c r="A351" t="s">
        <v>354</v>
      </c>
      <c r="C351">
        <v>-8.7949996810326005E-4</v>
      </c>
      <c r="D351">
        <v>-1.6474139490590501E-2</v>
      </c>
      <c r="E351">
        <v>-9.7102170209021927E-4</v>
      </c>
      <c r="F351">
        <v>-1.8324661160783979E-2</v>
      </c>
    </row>
    <row r="352" spans="1:6">
      <c r="A352" t="s">
        <v>355</v>
      </c>
      <c r="C352">
        <v>6.7193801247713929E-4</v>
      </c>
      <c r="D352">
        <v>1.6781657681316901E-2</v>
      </c>
      <c r="E352">
        <v>-7.4186062107743742E-4</v>
      </c>
      <c r="F352">
        <v>1.6711735072716609E-2</v>
      </c>
    </row>
    <row r="353" spans="1:6">
      <c r="A353" t="s">
        <v>356</v>
      </c>
      <c r="C353">
        <v>2.2029777936649909E-4</v>
      </c>
      <c r="D353">
        <v>-2.8885179475384101E-2</v>
      </c>
      <c r="E353">
        <v>2.432222085789074E-4</v>
      </c>
      <c r="F353">
        <v>-2.8421659487438689E-2</v>
      </c>
    </row>
    <row r="354" spans="1:6">
      <c r="A354" t="s">
        <v>357</v>
      </c>
      <c r="C354">
        <v>2.0406795125265118E-3</v>
      </c>
      <c r="D354">
        <v>2.5482994249906129E-2</v>
      </c>
      <c r="E354">
        <v>7.5101162233791937E-4</v>
      </c>
      <c r="F354">
        <v>2.827468538477056E-2</v>
      </c>
    </row>
    <row r="355" spans="1:6">
      <c r="A355" t="s">
        <v>358</v>
      </c>
      <c r="C355">
        <v>6.615221728627598E-4</v>
      </c>
      <c r="D355">
        <v>1.652152199673549E-2</v>
      </c>
      <c r="E355">
        <v>1.2172681628951089E-3</v>
      </c>
      <c r="F355">
        <v>1.8400312332493361E-2</v>
      </c>
    </row>
    <row r="356" spans="1:6">
      <c r="A356" t="s">
        <v>359</v>
      </c>
      <c r="C356">
        <v>4.3304658940886251E-4</v>
      </c>
      <c r="D356">
        <v>4.0557533704244988E-3</v>
      </c>
      <c r="E356">
        <v>-2.3905494689158889E-4</v>
      </c>
      <c r="F356">
        <v>4.2497450129417719E-3</v>
      </c>
    </row>
    <row r="357" spans="1:6">
      <c r="A357" t="s">
        <v>360</v>
      </c>
      <c r="C357">
        <v>8.6242807938832343E-4</v>
      </c>
      <c r="D357">
        <v>4.0385903910508166E-3</v>
      </c>
      <c r="E357">
        <v>-2.380433234648301E-4</v>
      </c>
      <c r="F357">
        <v>4.6629751469743101E-3</v>
      </c>
    </row>
    <row r="358" spans="1:6">
      <c r="A358" t="s">
        <v>361</v>
      </c>
      <c r="C358">
        <v>-1.7168505274361421E-3</v>
      </c>
      <c r="D358">
        <v>-1.6079383797178361E-2</v>
      </c>
      <c r="E358">
        <v>-1.658569396378963E-3</v>
      </c>
      <c r="F358">
        <v>-1.9454803720993469E-2</v>
      </c>
    </row>
    <row r="359" spans="1:6">
      <c r="A359" t="s">
        <v>362</v>
      </c>
      <c r="C359">
        <v>1.969778497406538E-3</v>
      </c>
      <c r="D359">
        <v>2.0498014597130181E-2</v>
      </c>
      <c r="E359">
        <v>1.2081976746004871E-3</v>
      </c>
      <c r="F359">
        <v>2.3675990769137199E-2</v>
      </c>
    </row>
    <row r="360" spans="1:6">
      <c r="A360" t="s">
        <v>363</v>
      </c>
      <c r="C360">
        <v>-1.496616074072621E-3</v>
      </c>
      <c r="D360">
        <v>0</v>
      </c>
      <c r="E360">
        <v>9.4420319358488392E-4</v>
      </c>
      <c r="F360">
        <v>-5.5241288048773725E-4</v>
      </c>
    </row>
    <row r="361" spans="1:6">
      <c r="A361" t="s">
        <v>364</v>
      </c>
      <c r="C361">
        <v>8.2709885814584503E-4</v>
      </c>
      <c r="D361">
        <v>4.0169671547160756E-3</v>
      </c>
      <c r="E361">
        <v>-1.183844013837804E-3</v>
      </c>
      <c r="F361">
        <v>3.6602219990241169E-3</v>
      </c>
    </row>
    <row r="362" spans="1:6">
      <c r="A362" t="s">
        <v>365</v>
      </c>
      <c r="C362">
        <v>-1.2375835752428709E-3</v>
      </c>
      <c r="D362">
        <v>-4.0070442398395002E-3</v>
      </c>
      <c r="E362">
        <v>9.261383769298483E-4</v>
      </c>
      <c r="F362">
        <v>-4.318489438152523E-3</v>
      </c>
    </row>
    <row r="363" spans="1:6">
      <c r="A363" t="s">
        <v>366</v>
      </c>
      <c r="C363">
        <v>0</v>
      </c>
      <c r="D363">
        <v>-4.0244236709571796E-3</v>
      </c>
      <c r="E363">
        <v>-4.6507762126025759E-4</v>
      </c>
      <c r="F363">
        <v>-4.4895012922174377E-3</v>
      </c>
    </row>
    <row r="364" spans="1:6">
      <c r="A364" t="s">
        <v>367</v>
      </c>
      <c r="C364">
        <v>-8.3237109582732464E-4</v>
      </c>
      <c r="D364">
        <v>0</v>
      </c>
      <c r="E364">
        <v>-4.6717500404460749E-4</v>
      </c>
      <c r="F364">
        <v>-1.2995460998719321E-3</v>
      </c>
    </row>
    <row r="365" spans="1:6">
      <c r="A365" t="s">
        <v>368</v>
      </c>
      <c r="C365">
        <v>8.3345420799274333E-4</v>
      </c>
      <c r="D365">
        <v>8.0956663051671013E-3</v>
      </c>
      <c r="E365">
        <v>3.9761547307520014E-3</v>
      </c>
      <c r="F365">
        <v>1.290527524391185E-2</v>
      </c>
    </row>
    <row r="366" spans="1:6">
      <c r="A366" t="s">
        <v>369</v>
      </c>
      <c r="C366">
        <v>2.0570882301704959E-4</v>
      </c>
      <c r="D366">
        <v>7.992520626588338E-3</v>
      </c>
      <c r="E366">
        <v>2.0782033070606341E-3</v>
      </c>
      <c r="F366">
        <v>1.027643275666602E-2</v>
      </c>
    </row>
    <row r="367" spans="1:6">
      <c r="A367" t="s">
        <v>370</v>
      </c>
      <c r="C367">
        <v>0</v>
      </c>
      <c r="D367">
        <v>0</v>
      </c>
      <c r="E367">
        <v>9.1425067862751846E-4</v>
      </c>
      <c r="F367">
        <v>9.1425067862751846E-4</v>
      </c>
    </row>
    <row r="368" spans="1:6">
      <c r="A368" t="s">
        <v>371</v>
      </c>
      <c r="C368">
        <v>-4.068607733643097E-4</v>
      </c>
      <c r="D368">
        <v>-3.9519976289427404E-3</v>
      </c>
      <c r="E368">
        <v>-1.5984772786613709E-3</v>
      </c>
      <c r="F368">
        <v>-5.9573356809684199E-3</v>
      </c>
    </row>
    <row r="369" spans="1:6">
      <c r="A369" t="s">
        <v>372</v>
      </c>
      <c r="C369">
        <v>1.0232477638246779E-3</v>
      </c>
      <c r="D369">
        <v>1.192704630535165E-2</v>
      </c>
      <c r="E369">
        <v>4.5944486116812307E-4</v>
      </c>
      <c r="F369">
        <v>1.340973893034445E-2</v>
      </c>
    </row>
    <row r="370" spans="1:6">
      <c r="A370" t="s">
        <v>373</v>
      </c>
      <c r="C370">
        <v>-2.0194156904485981E-4</v>
      </c>
      <c r="D370">
        <v>1.5692298777314779E-2</v>
      </c>
      <c r="E370">
        <v>6.8004802527317509E-4</v>
      </c>
      <c r="F370">
        <v>1.61704052335431E-2</v>
      </c>
    </row>
    <row r="371" spans="1:6">
      <c r="A371" t="s">
        <v>374</v>
      </c>
      <c r="C371">
        <v>5.9618416755145007E-4</v>
      </c>
      <c r="D371">
        <v>0</v>
      </c>
      <c r="E371">
        <v>-8.9230181837055391E-4</v>
      </c>
      <c r="F371">
        <v>-2.9611765081910378E-4</v>
      </c>
    </row>
    <row r="372" spans="1:6">
      <c r="A372" t="s">
        <v>375</v>
      </c>
      <c r="C372">
        <v>5.9636076049888955E-4</v>
      </c>
      <c r="D372">
        <v>1.9308950102658089E-2</v>
      </c>
      <c r="E372">
        <v>8.9256612295408378E-4</v>
      </c>
      <c r="F372">
        <v>2.0797876986111071E-2</v>
      </c>
    </row>
    <row r="373" spans="1:6">
      <c r="A373" t="s">
        <v>376</v>
      </c>
      <c r="C373">
        <v>-1.947368079890719E-4</v>
      </c>
      <c r="D373">
        <v>-3.7831093770820641E-3</v>
      </c>
      <c r="E373">
        <v>6.5578564308149624E-4</v>
      </c>
      <c r="F373">
        <v>-3.3220605419896389E-3</v>
      </c>
    </row>
    <row r="374" spans="1:6">
      <c r="A374" t="s">
        <v>377</v>
      </c>
      <c r="C374">
        <v>-1.1723153505031061E-3</v>
      </c>
      <c r="D374">
        <v>-1.5182875941407121E-2</v>
      </c>
      <c r="E374">
        <v>2.1932382137340169E-4</v>
      </c>
      <c r="F374">
        <v>-1.613586747053683E-2</v>
      </c>
    </row>
    <row r="375" spans="1:6">
      <c r="A375" t="s">
        <v>378</v>
      </c>
      <c r="C375">
        <v>1.588722550526897E-3</v>
      </c>
      <c r="D375">
        <v>1.157391206728876E-2</v>
      </c>
      <c r="E375">
        <v>0</v>
      </c>
      <c r="F375">
        <v>1.3162634617815659E-2</v>
      </c>
    </row>
    <row r="376" spans="1:6">
      <c r="A376" t="s">
        <v>379</v>
      </c>
      <c r="C376">
        <v>3.136164908265085E-3</v>
      </c>
      <c r="D376">
        <v>0</v>
      </c>
      <c r="E376">
        <v>0</v>
      </c>
      <c r="F376">
        <v>3.136164908265085E-3</v>
      </c>
    </row>
    <row r="377" spans="1:6">
      <c r="A377" t="s">
        <v>380</v>
      </c>
      <c r="C377">
        <v>1.9539750795894459E-4</v>
      </c>
      <c r="D377">
        <v>0</v>
      </c>
      <c r="E377">
        <v>0</v>
      </c>
      <c r="F377">
        <v>1.9539750795894459E-4</v>
      </c>
    </row>
    <row r="378" spans="1:6">
      <c r="A378" t="s">
        <v>381</v>
      </c>
      <c r="C378">
        <v>5.8607800569505128E-4</v>
      </c>
      <c r="D378">
        <v>0</v>
      </c>
      <c r="E378">
        <v>-1.315764067510779E-3</v>
      </c>
      <c r="F378">
        <v>-7.2968606181572746E-4</v>
      </c>
    </row>
    <row r="379" spans="1:6">
      <c r="A379" t="s">
        <v>382</v>
      </c>
      <c r="C379">
        <v>-1.759517912781626E-3</v>
      </c>
      <c r="D379">
        <v>-7.595948813312707E-3</v>
      </c>
      <c r="E379">
        <v>-1.755633151054358E-3</v>
      </c>
      <c r="F379">
        <v>-1.111109987714869E-2</v>
      </c>
    </row>
    <row r="380" spans="1:6">
      <c r="A380" t="s">
        <v>383</v>
      </c>
      <c r="C380">
        <v>0</v>
      </c>
      <c r="D380">
        <v>1.5362592931054341E-2</v>
      </c>
      <c r="E380">
        <v>8.8767967303316517E-4</v>
      </c>
      <c r="F380">
        <v>1.6250272604087509E-2</v>
      </c>
    </row>
    <row r="381" spans="1:6">
      <c r="A381" t="s">
        <v>384</v>
      </c>
      <c r="C381">
        <v>2.5289856097456911E-3</v>
      </c>
      <c r="D381">
        <v>3.77923463963471E-3</v>
      </c>
      <c r="E381">
        <v>-4.3674264940590519E-4</v>
      </c>
      <c r="F381">
        <v>5.8714775999744962E-3</v>
      </c>
    </row>
    <row r="382" spans="1:6">
      <c r="A382" t="s">
        <v>385</v>
      </c>
      <c r="C382">
        <v>1.353812601804697E-3</v>
      </c>
      <c r="D382">
        <v>-1.5028697895488699E-2</v>
      </c>
      <c r="E382">
        <v>-8.6838658642151819E-4</v>
      </c>
      <c r="F382">
        <v>-1.454327188010552E-2</v>
      </c>
    </row>
    <row r="383" spans="1:6">
      <c r="A383" t="s">
        <v>386</v>
      </c>
      <c r="C383">
        <v>-5.887680140764654E-4</v>
      </c>
      <c r="D383">
        <v>-3.8126224791628399E-3</v>
      </c>
      <c r="E383">
        <v>-8.8120214885362982E-4</v>
      </c>
      <c r="F383">
        <v>-5.2825926420929361E-3</v>
      </c>
    </row>
    <row r="384" spans="1:6">
      <c r="A384" t="s">
        <v>387</v>
      </c>
      <c r="C384">
        <v>1.775684258829771E-3</v>
      </c>
      <c r="D384">
        <v>1.149860990959123E-2</v>
      </c>
      <c r="E384">
        <v>4.4294095103563741E-4</v>
      </c>
      <c r="F384">
        <v>1.371723511945663E-2</v>
      </c>
    </row>
    <row r="385" spans="1:6">
      <c r="A385" t="s">
        <v>388</v>
      </c>
      <c r="C385">
        <v>5.8388545882176685E-4</v>
      </c>
      <c r="D385">
        <v>-1.8905025174066791E-2</v>
      </c>
      <c r="E385">
        <v>-8.7389448593806567E-4</v>
      </c>
      <c r="F385">
        <v>-1.919503420118308E-2</v>
      </c>
    </row>
    <row r="386" spans="1:6">
      <c r="A386" t="s">
        <v>389</v>
      </c>
      <c r="C386">
        <v>3.3734375151352539E-3</v>
      </c>
      <c r="D386">
        <v>4.2405021215479968E-2</v>
      </c>
      <c r="E386">
        <v>1.5592451136766661E-3</v>
      </c>
      <c r="F386">
        <v>4.7337703844291888E-2</v>
      </c>
    </row>
    <row r="387" spans="1:6">
      <c r="A387" t="s">
        <v>390</v>
      </c>
      <c r="C387">
        <v>0</v>
      </c>
      <c r="D387">
        <v>-3.680763057159185E-3</v>
      </c>
      <c r="E387">
        <v>-2.1268145043971959E-4</v>
      </c>
      <c r="F387">
        <v>-3.893444507598905E-3</v>
      </c>
    </row>
    <row r="388" spans="1:6">
      <c r="A388" t="s">
        <v>391</v>
      </c>
      <c r="C388">
        <v>1.3314634600438489E-3</v>
      </c>
      <c r="D388">
        <v>3.6951499183133971E-3</v>
      </c>
      <c r="E388">
        <v>2.1351275048539929E-4</v>
      </c>
      <c r="F388">
        <v>5.2401261288426452E-3</v>
      </c>
    </row>
    <row r="389" spans="1:6">
      <c r="A389" t="s">
        <v>392</v>
      </c>
      <c r="C389">
        <v>-3.784350838700416E-4</v>
      </c>
      <c r="D389">
        <v>0</v>
      </c>
      <c r="E389">
        <v>2.1239974901084789E-4</v>
      </c>
      <c r="F389">
        <v>-1.6603533485919371E-4</v>
      </c>
    </row>
    <row r="390" spans="1:6">
      <c r="A390" t="s">
        <v>393</v>
      </c>
      <c r="C390">
        <v>5.6774689185036607E-4</v>
      </c>
      <c r="D390">
        <v>1.470599292482907E-2</v>
      </c>
      <c r="E390">
        <v>4.2487004146130161E-4</v>
      </c>
      <c r="F390">
        <v>1.5698609858140731E-2</v>
      </c>
    </row>
    <row r="391" spans="1:6">
      <c r="A391" t="s">
        <v>394</v>
      </c>
      <c r="C391">
        <v>3.7264787430703252E-4</v>
      </c>
      <c r="D391">
        <v>-1.8098371876873749E-2</v>
      </c>
      <c r="E391">
        <v>8.366065235053177E-4</v>
      </c>
      <c r="F391">
        <v>-1.688911747906139E-2</v>
      </c>
    </row>
    <row r="392" spans="1:6">
      <c r="A392" t="s">
        <v>395</v>
      </c>
      <c r="C392">
        <v>2.8428726677666668E-3</v>
      </c>
      <c r="D392">
        <v>3.681857702656095E-3</v>
      </c>
      <c r="E392">
        <v>-8.5097880450682483E-4</v>
      </c>
      <c r="F392">
        <v>5.6737515659159394E-3</v>
      </c>
    </row>
    <row r="393" spans="1:6">
      <c r="A393" t="s">
        <v>396</v>
      </c>
      <c r="C393">
        <v>1.130733565767261E-3</v>
      </c>
      <c r="D393">
        <v>0</v>
      </c>
      <c r="E393">
        <v>1.6923556037567479E-3</v>
      </c>
      <c r="F393">
        <v>2.823089169524009E-3</v>
      </c>
    </row>
    <row r="394" spans="1:6">
      <c r="A394" t="s">
        <v>397</v>
      </c>
      <c r="C394">
        <v>-7.5170026031455182E-4</v>
      </c>
      <c r="D394">
        <v>3.6507791373865399E-3</v>
      </c>
      <c r="E394">
        <v>-8.4379569140068979E-4</v>
      </c>
      <c r="F394">
        <v>2.055283185671298E-3</v>
      </c>
    </row>
    <row r="395" spans="1:6">
      <c r="A395" t="s">
        <v>398</v>
      </c>
      <c r="C395">
        <v>-2.8130942708250342E-3</v>
      </c>
      <c r="D395">
        <v>-3.6432911423611401E-2</v>
      </c>
      <c r="E395">
        <v>-1.473613766355044E-3</v>
      </c>
      <c r="F395">
        <v>-4.0719619460791473E-2</v>
      </c>
    </row>
    <row r="396" spans="1:6">
      <c r="A396" t="s">
        <v>399</v>
      </c>
      <c r="C396">
        <v>2.1505034820429201E-3</v>
      </c>
      <c r="D396">
        <v>1.139382567267744E-2</v>
      </c>
      <c r="E396">
        <v>4.3890453011892998E-4</v>
      </c>
      <c r="F396">
        <v>1.3983233684839291E-2</v>
      </c>
    </row>
    <row r="397" spans="1:6">
      <c r="A397" t="s">
        <v>400</v>
      </c>
      <c r="C397">
        <v>-1.3496300238341459E-3</v>
      </c>
      <c r="D397">
        <v>-1.123670026699752E-2</v>
      </c>
      <c r="E397">
        <v>0</v>
      </c>
      <c r="F397">
        <v>-1.2586330290831661E-2</v>
      </c>
    </row>
    <row r="398" spans="1:6">
      <c r="A398" t="s">
        <v>401</v>
      </c>
      <c r="C398">
        <v>1.9526192013925841E-3</v>
      </c>
      <c r="D398">
        <v>2.6553174311819468E-2</v>
      </c>
      <c r="E398">
        <v>1.9726619511248838E-3</v>
      </c>
      <c r="F398">
        <v>3.0478455464336938E-2</v>
      </c>
    </row>
    <row r="399" spans="1:6">
      <c r="A399" t="s">
        <v>402</v>
      </c>
      <c r="C399">
        <v>5.6845997828631784E-4</v>
      </c>
      <c r="D399">
        <v>3.6811158892836159E-3</v>
      </c>
      <c r="E399">
        <v>-4.2540367549427882E-4</v>
      </c>
      <c r="F399">
        <v>3.824172192075656E-3</v>
      </c>
    </row>
    <row r="400" spans="1:6">
      <c r="A400" t="s">
        <v>403</v>
      </c>
      <c r="C400">
        <v>-3.7752958073321931E-4</v>
      </c>
      <c r="D400">
        <v>1.1001276890688151E-2</v>
      </c>
      <c r="E400">
        <v>0</v>
      </c>
      <c r="F400">
        <v>1.0623747309954929E-2</v>
      </c>
    </row>
    <row r="401" spans="1:6">
      <c r="A401" t="s">
        <v>404</v>
      </c>
      <c r="C401">
        <v>-7.4712192690527042E-4</v>
      </c>
      <c r="D401">
        <v>-2.1771261401626451E-2</v>
      </c>
      <c r="E401">
        <v>-6.2899232861431446E-4</v>
      </c>
      <c r="F401">
        <v>-2.314737565714604E-2</v>
      </c>
    </row>
    <row r="402" spans="1:6">
      <c r="A402" t="s">
        <v>405</v>
      </c>
      <c r="C402">
        <v>-9.5603204143495106E-4</v>
      </c>
      <c r="D402">
        <v>0</v>
      </c>
      <c r="E402">
        <v>-6.4389685090670526E-4</v>
      </c>
      <c r="F402">
        <v>-1.5999288923416561E-3</v>
      </c>
    </row>
    <row r="403" spans="1:6">
      <c r="A403" t="s">
        <v>406</v>
      </c>
      <c r="C403">
        <v>-1.9151281517323961E-3</v>
      </c>
      <c r="D403">
        <v>3.72047757378217E-3</v>
      </c>
      <c r="E403">
        <v>-4.2995246063524039E-4</v>
      </c>
      <c r="F403">
        <v>1.375396961414534E-3</v>
      </c>
    </row>
    <row r="404" spans="1:6">
      <c r="A404" t="s">
        <v>407</v>
      </c>
      <c r="C404">
        <v>0</v>
      </c>
      <c r="D404">
        <v>-3.7153674686552442E-3</v>
      </c>
      <c r="E404">
        <v>0</v>
      </c>
      <c r="F404">
        <v>-3.7153674686552442E-3</v>
      </c>
    </row>
    <row r="405" spans="1:6">
      <c r="A405" t="s">
        <v>408</v>
      </c>
      <c r="C405">
        <v>7.6785193537978627E-4</v>
      </c>
      <c r="D405">
        <v>0</v>
      </c>
      <c r="E405">
        <v>1.508370863491576E-3</v>
      </c>
      <c r="F405">
        <v>2.2762227988713619E-3</v>
      </c>
    </row>
    <row r="406" spans="1:6">
      <c r="A406" t="s">
        <v>409</v>
      </c>
      <c r="C406">
        <v>9.5763512831266732E-4</v>
      </c>
      <c r="D406">
        <v>0</v>
      </c>
      <c r="E406">
        <v>-4.2998436364305329E-4</v>
      </c>
      <c r="F406">
        <v>5.2765076466961404E-4</v>
      </c>
    </row>
    <row r="407" spans="1:6">
      <c r="A407" t="s">
        <v>410</v>
      </c>
      <c r="C407">
        <v>7.6570407830770394E-4</v>
      </c>
      <c r="D407">
        <v>1.48751656588641E-2</v>
      </c>
      <c r="E407">
        <v>2.1487880085794271E-3</v>
      </c>
      <c r="F407">
        <v>1.7789657745751229E-2</v>
      </c>
    </row>
    <row r="408" spans="1:6">
      <c r="A408" t="s">
        <v>411</v>
      </c>
      <c r="C408">
        <v>-5.6424041486402641E-4</v>
      </c>
      <c r="D408">
        <v>0</v>
      </c>
      <c r="E408">
        <v>-2.111229950340294E-4</v>
      </c>
      <c r="F408">
        <v>-7.7536340989805587E-4</v>
      </c>
    </row>
    <row r="409" spans="1:6">
      <c r="A409" t="s">
        <v>412</v>
      </c>
      <c r="C409">
        <v>1.5058086552376491E-3</v>
      </c>
      <c r="D409">
        <v>1.462650770171956E-2</v>
      </c>
      <c r="E409">
        <v>3.3805891056408852E-3</v>
      </c>
      <c r="F409">
        <v>1.9512905462598089E-2</v>
      </c>
    </row>
    <row r="410" spans="1:6">
      <c r="A410" t="s">
        <v>413</v>
      </c>
      <c r="C410">
        <v>9.2311770109128571E-4</v>
      </c>
      <c r="D410">
        <v>1.7933205680072849E-2</v>
      </c>
      <c r="E410">
        <v>-8.2897163133677123E-4</v>
      </c>
      <c r="F410">
        <v>1.8027351749827371E-2</v>
      </c>
    </row>
    <row r="411" spans="1:6">
      <c r="A411" t="s">
        <v>414</v>
      </c>
      <c r="C411">
        <v>1.632187837692443E-3</v>
      </c>
      <c r="D411">
        <v>1.056938538001864E-2</v>
      </c>
      <c r="E411">
        <v>-4.0714605060065468E-4</v>
      </c>
      <c r="F411">
        <v>1.1794427167110421E-2</v>
      </c>
    </row>
    <row r="412" spans="1:6">
      <c r="A412" t="s">
        <v>415</v>
      </c>
      <c r="C412">
        <v>1.075441014411298E-3</v>
      </c>
      <c r="D412">
        <v>1.392823824843749E-2</v>
      </c>
      <c r="E412">
        <v>2.011999867110404E-4</v>
      </c>
      <c r="F412">
        <v>1.520487924955983E-2</v>
      </c>
    </row>
    <row r="413" spans="1:6">
      <c r="A413" t="s">
        <v>416</v>
      </c>
      <c r="C413">
        <v>-5.2966698466139391E-4</v>
      </c>
      <c r="D413">
        <v>-3.4299082217604318E-3</v>
      </c>
      <c r="E413">
        <v>0</v>
      </c>
      <c r="F413">
        <v>-3.9595752064218257E-3</v>
      </c>
    </row>
    <row r="414" spans="1:6">
      <c r="A414" t="s">
        <v>417</v>
      </c>
      <c r="C414">
        <v>-1.772575260591334E-4</v>
      </c>
      <c r="D414">
        <v>1.721771594998895E-2</v>
      </c>
      <c r="E414">
        <v>1.9897443788891942E-3</v>
      </c>
      <c r="F414">
        <v>1.9030202802819009E-2</v>
      </c>
    </row>
    <row r="415" spans="1:6">
      <c r="A415" t="s">
        <v>418</v>
      </c>
      <c r="C415">
        <v>-1.2217595469851551E-3</v>
      </c>
      <c r="D415">
        <v>-1.013234609934216E-2</v>
      </c>
      <c r="E415">
        <v>-9.7960345565925307E-4</v>
      </c>
      <c r="F415">
        <v>-1.233370910198657E-2</v>
      </c>
    </row>
    <row r="416" spans="1:6">
      <c r="A416" t="s">
        <v>419</v>
      </c>
      <c r="C416">
        <v>1.0602998993640401E-3</v>
      </c>
      <c r="D416">
        <v>1.367850145704518E-2</v>
      </c>
      <c r="E416">
        <v>0</v>
      </c>
      <c r="F416">
        <v>1.4738801356409219E-2</v>
      </c>
    </row>
    <row r="417" spans="1:6">
      <c r="A417" t="s">
        <v>420</v>
      </c>
      <c r="C417">
        <v>-3.4829977853963651E-4</v>
      </c>
      <c r="D417">
        <v>-1.347982499413743E-2</v>
      </c>
      <c r="E417">
        <v>-2.7368049151294052E-3</v>
      </c>
      <c r="F417">
        <v>-1.6564929687806471E-2</v>
      </c>
    </row>
    <row r="418" spans="1:6">
      <c r="A418" t="s">
        <v>421</v>
      </c>
      <c r="C418">
        <v>7.0833304415118716E-4</v>
      </c>
      <c r="D418">
        <v>2.0560317708404819E-2</v>
      </c>
      <c r="E418">
        <v>-1.3914517581016311E-3</v>
      </c>
      <c r="F418">
        <v>1.9877198994454379E-2</v>
      </c>
    </row>
    <row r="419" spans="1:6">
      <c r="A419" t="s">
        <v>422</v>
      </c>
      <c r="C419">
        <v>1.736319443285835E-3</v>
      </c>
      <c r="D419">
        <v>3.0239401952523639E-2</v>
      </c>
      <c r="E419">
        <v>-1.1694279827920431E-3</v>
      </c>
      <c r="F419">
        <v>3.0806293413017421E-2</v>
      </c>
    </row>
    <row r="420" spans="1:6">
      <c r="A420" t="s">
        <v>423</v>
      </c>
      <c r="C420">
        <v>6.7377137853392478E-4</v>
      </c>
      <c r="D420">
        <v>0</v>
      </c>
      <c r="E420">
        <v>-1.7017183397086859E-3</v>
      </c>
      <c r="F420">
        <v>-1.0279469611747609E-3</v>
      </c>
    </row>
    <row r="421" spans="1:6">
      <c r="A421" t="s">
        <v>424</v>
      </c>
      <c r="C421">
        <v>2.360626423627373E-3</v>
      </c>
      <c r="D421">
        <v>-1.305149554971337E-2</v>
      </c>
      <c r="E421">
        <v>5.6782313863941089E-4</v>
      </c>
      <c r="F421">
        <v>-1.012304598744658E-2</v>
      </c>
    </row>
    <row r="422" spans="1:6">
      <c r="A422" t="s">
        <v>425</v>
      </c>
      <c r="C422">
        <v>-3.5771513025811431E-3</v>
      </c>
      <c r="D422">
        <v>-1.3184967582898039E-2</v>
      </c>
      <c r="E422">
        <v>-1.338470050701362E-3</v>
      </c>
      <c r="F422">
        <v>-1.810058893618054E-2</v>
      </c>
    </row>
    <row r="423" spans="1:6">
      <c r="A423" t="s">
        <v>426</v>
      </c>
      <c r="C423">
        <v>-1.214364479794507E-3</v>
      </c>
      <c r="D423">
        <v>3.3570056755134019E-3</v>
      </c>
      <c r="E423">
        <v>1.947348222114615E-4</v>
      </c>
      <c r="F423">
        <v>2.3373760179303559E-3</v>
      </c>
    </row>
    <row r="424" spans="1:6">
      <c r="A424" t="s">
        <v>427</v>
      </c>
      <c r="C424">
        <v>1.038456576326695E-3</v>
      </c>
      <c r="D424">
        <v>1.339670955442192E-2</v>
      </c>
      <c r="E424">
        <v>-1.1656842907630609E-3</v>
      </c>
      <c r="F424">
        <v>1.326948183998555E-2</v>
      </c>
    </row>
    <row r="425" spans="1:6">
      <c r="A425" t="s">
        <v>428</v>
      </c>
      <c r="C425">
        <v>2.2205240452146122E-3</v>
      </c>
      <c r="D425">
        <v>2.6442540300522972E-2</v>
      </c>
      <c r="E425">
        <v>-1.9173647150053761E-4</v>
      </c>
      <c r="F425">
        <v>2.8471327874237042E-2</v>
      </c>
    </row>
    <row r="426" spans="1:6">
      <c r="A426" t="s">
        <v>429</v>
      </c>
      <c r="C426">
        <v>3.3216199092809791E-4</v>
      </c>
      <c r="D426">
        <v>2.2496711513368361E-2</v>
      </c>
      <c r="E426">
        <v>1.491428813260867E-3</v>
      </c>
      <c r="F426">
        <v>2.432030231755733E-2</v>
      </c>
    </row>
    <row r="427" spans="1:6">
      <c r="A427" t="s">
        <v>430</v>
      </c>
      <c r="C427">
        <v>6.4855102486316223E-4</v>
      </c>
      <c r="D427">
        <v>2.1962575048516411E-2</v>
      </c>
      <c r="E427">
        <v>1.8200225186966199E-4</v>
      </c>
      <c r="F427">
        <v>2.279312832524923E-2</v>
      </c>
    </row>
    <row r="428" spans="1:6">
      <c r="A428" t="s">
        <v>431</v>
      </c>
      <c r="B428">
        <v>-3.6434551217475088E-4</v>
      </c>
      <c r="C428">
        <v>-1.1164707635282561E-3</v>
      </c>
      <c r="D428">
        <v>-1.2086070689493999E-2</v>
      </c>
      <c r="F428">
        <v>-1.3566886965197009E-2</v>
      </c>
    </row>
    <row r="429" spans="1:6">
      <c r="A429" t="s">
        <v>432</v>
      </c>
      <c r="B429">
        <v>1.108069591420629E-3</v>
      </c>
      <c r="C429">
        <v>-1.131826120570291E-3</v>
      </c>
      <c r="D429">
        <v>1.531537025900151E-2</v>
      </c>
      <c r="F429">
        <v>1.529161372985185E-2</v>
      </c>
    </row>
    <row r="430" spans="1:6">
      <c r="A430" t="s">
        <v>433</v>
      </c>
      <c r="B430">
        <v>1.8795999575951139E-3</v>
      </c>
      <c r="C430">
        <v>-2.7073212674631891E-3</v>
      </c>
      <c r="D430">
        <v>-1.5084700840517939E-2</v>
      </c>
      <c r="F430">
        <v>-1.5912422150386019E-2</v>
      </c>
    </row>
    <row r="431" spans="1:6">
      <c r="A431" t="s">
        <v>434</v>
      </c>
      <c r="B431">
        <v>-2.3412812094489488E-3</v>
      </c>
      <c r="C431">
        <v>-2.2656100341434801E-3</v>
      </c>
      <c r="D431">
        <v>6.1314465013288287E-3</v>
      </c>
      <c r="F431">
        <v>1.5245552577364001E-3</v>
      </c>
    </row>
    <row r="432" spans="1:6">
      <c r="A432" t="s">
        <v>435</v>
      </c>
      <c r="B432">
        <v>1.4149341131091881E-3</v>
      </c>
      <c r="C432">
        <v>1.615829460231855E-4</v>
      </c>
      <c r="D432">
        <v>2.4488452007054129E-2</v>
      </c>
      <c r="F432">
        <v>2.6064969066186501E-2</v>
      </c>
    </row>
    <row r="433" spans="1:6">
      <c r="A433" t="s">
        <v>436</v>
      </c>
      <c r="B433">
        <v>5.9956120068104478E-4</v>
      </c>
      <c r="C433">
        <v>5.1967832247678701E-3</v>
      </c>
      <c r="D433">
        <v>1.193318783182944E-2</v>
      </c>
      <c r="F433">
        <v>1.7729532257278351E-2</v>
      </c>
    </row>
    <row r="434" spans="1:6">
      <c r="A434" t="s">
        <v>437</v>
      </c>
      <c r="B434">
        <v>-1.5317027484829269E-3</v>
      </c>
      <c r="C434">
        <v>1.0831443147021429E-3</v>
      </c>
      <c r="D434">
        <v>-2.0519281443453639E-2</v>
      </c>
      <c r="F434">
        <v>-2.0967839877234419E-2</v>
      </c>
    </row>
    <row r="435" spans="1:6">
      <c r="A435" t="s">
        <v>438</v>
      </c>
      <c r="B435">
        <v>9.6277358921542308E-4</v>
      </c>
      <c r="C435">
        <v>3.793172279388325E-3</v>
      </c>
      <c r="D435">
        <v>1.796463511551533E-2</v>
      </c>
      <c r="F435">
        <v>2.2720580984119079E-2</v>
      </c>
    </row>
    <row r="436" spans="1:6">
      <c r="A436" t="s">
        <v>439</v>
      </c>
      <c r="B436">
        <v>2.9418274377573283E-4</v>
      </c>
      <c r="C436">
        <v>1.5453765956526471E-4</v>
      </c>
      <c r="D436">
        <v>0</v>
      </c>
      <c r="F436">
        <v>4.4872040334099748E-4</v>
      </c>
    </row>
    <row r="437" spans="1:6">
      <c r="A437" t="s">
        <v>440</v>
      </c>
      <c r="B437">
        <v>0</v>
      </c>
      <c r="C437">
        <v>1.081278425265744E-3</v>
      </c>
      <c r="D437">
        <v>-1.1705104969778101E-2</v>
      </c>
      <c r="F437">
        <v>-1.062382654451235E-2</v>
      </c>
    </row>
    <row r="438" spans="1:6">
      <c r="A438" t="s">
        <v>441</v>
      </c>
      <c r="B438">
        <v>-5.9441657293285812E-4</v>
      </c>
      <c r="C438">
        <v>-1.092889089383747E-3</v>
      </c>
      <c r="D438">
        <v>-5.915396632656382E-3</v>
      </c>
      <c r="F438">
        <v>-7.6027022949729864E-3</v>
      </c>
    </row>
    <row r="439" spans="1:6">
      <c r="A439" t="s">
        <v>442</v>
      </c>
      <c r="B439">
        <v>3.5938221978686099E-3</v>
      </c>
      <c r="C439">
        <v>2.3598464011866859E-3</v>
      </c>
      <c r="D439">
        <v>1.7882142503821991E-2</v>
      </c>
      <c r="F439">
        <v>2.3835811102877281E-2</v>
      </c>
    </row>
    <row r="440" spans="1:6">
      <c r="A440" t="s">
        <v>443</v>
      </c>
      <c r="B440">
        <v>2.9251290090460068E-4</v>
      </c>
      <c r="C440">
        <v>1.075623300088361E-3</v>
      </c>
      <c r="D440">
        <v>-2.9109717121145501E-3</v>
      </c>
      <c r="F440">
        <v>-1.542835511121588E-3</v>
      </c>
    </row>
    <row r="441" spans="1:6">
      <c r="A441" t="s">
        <v>444</v>
      </c>
      <c r="B441">
        <v>-8.7889469265616817E-4</v>
      </c>
      <c r="C441">
        <v>3.077958212055195E-3</v>
      </c>
      <c r="D441">
        <v>1.74928188147443E-2</v>
      </c>
      <c r="F441">
        <v>1.9691882334143321E-2</v>
      </c>
    </row>
    <row r="442" spans="1:6">
      <c r="A442" t="s">
        <v>445</v>
      </c>
      <c r="B442">
        <v>-2.8730727647006439E-3</v>
      </c>
      <c r="C442">
        <v>6.0370358249975311E-4</v>
      </c>
      <c r="D442">
        <v>0</v>
      </c>
      <c r="F442">
        <v>-2.2693691822008909E-3</v>
      </c>
    </row>
    <row r="443" spans="1:6">
      <c r="A443" t="s">
        <v>446</v>
      </c>
      <c r="B443">
        <v>-8.6388229727267279E-4</v>
      </c>
      <c r="C443">
        <v>-1.361422631187613E-3</v>
      </c>
      <c r="D443">
        <v>-2.8656706788890551E-3</v>
      </c>
      <c r="F443">
        <v>-5.0909756073493411E-3</v>
      </c>
    </row>
    <row r="444" spans="1:6">
      <c r="A444" t="s">
        <v>447</v>
      </c>
      <c r="B444">
        <v>-6.9464224454093056E-4</v>
      </c>
      <c r="C444">
        <v>-1.8245187553956881E-3</v>
      </c>
      <c r="D444">
        <v>5.7606687820294421E-3</v>
      </c>
      <c r="F444">
        <v>3.2415077820928239E-3</v>
      </c>
    </row>
    <row r="445" spans="1:6">
      <c r="A445" t="s">
        <v>448</v>
      </c>
      <c r="B445">
        <v>-4.6159855438770308E-4</v>
      </c>
      <c r="C445">
        <v>-2.2732795907602871E-3</v>
      </c>
      <c r="D445">
        <v>-2.87102793163173E-3</v>
      </c>
      <c r="F445">
        <v>-5.6059060767797214E-3</v>
      </c>
    </row>
    <row r="446" spans="1:6">
      <c r="A446" t="s">
        <v>449</v>
      </c>
      <c r="B446">
        <v>-4.6420082058868739E-4</v>
      </c>
      <c r="C446">
        <v>9.1443809035165612E-4</v>
      </c>
      <c r="D446">
        <v>-2.5984920407904889E-2</v>
      </c>
      <c r="F446">
        <v>-2.5534683138141921E-2</v>
      </c>
    </row>
    <row r="447" spans="1:6">
      <c r="A447" t="s">
        <v>450</v>
      </c>
      <c r="B447">
        <v>6.5500138102906789E-4</v>
      </c>
      <c r="C447">
        <v>3.1279994424583121E-4</v>
      </c>
      <c r="D447">
        <v>2.9628693076055321E-3</v>
      </c>
      <c r="F447">
        <v>3.930670632880431E-3</v>
      </c>
    </row>
    <row r="448" spans="1:6">
      <c r="A448" t="s">
        <v>451</v>
      </c>
      <c r="B448">
        <v>-7.7106175143367361E-4</v>
      </c>
      <c r="C448">
        <v>-1.2463009783280801E-3</v>
      </c>
      <c r="D448">
        <v>-2.9512688418391799E-3</v>
      </c>
      <c r="F448">
        <v>-4.9686315716009344E-3</v>
      </c>
    </row>
    <row r="449" spans="1:6">
      <c r="A449" t="s">
        <v>452</v>
      </c>
      <c r="B449">
        <v>1.013346466351256E-3</v>
      </c>
      <c r="C449">
        <v>1.7222209264696391E-3</v>
      </c>
      <c r="D449">
        <v>8.8980174961736831E-3</v>
      </c>
      <c r="F449">
        <v>1.163358488899458E-2</v>
      </c>
    </row>
    <row r="450" spans="1:6">
      <c r="A450" t="s">
        <v>453</v>
      </c>
      <c r="B450">
        <v>-5.892312845096158E-4</v>
      </c>
      <c r="C450">
        <v>-9.2859039740449296E-4</v>
      </c>
      <c r="D450">
        <v>-5.8637947105786362E-3</v>
      </c>
      <c r="F450">
        <v>-7.3816163924927446E-3</v>
      </c>
    </row>
    <row r="451" spans="1:6">
      <c r="A451" t="s">
        <v>454</v>
      </c>
      <c r="B451">
        <v>-2.9680655438203349E-4</v>
      </c>
      <c r="C451">
        <v>1.4032438035698339E-3</v>
      </c>
      <c r="D451">
        <v>5.9074008777347479E-3</v>
      </c>
      <c r="F451">
        <v>7.0138381269225494E-3</v>
      </c>
    </row>
    <row r="452" spans="1:6">
      <c r="A452" t="s">
        <v>455</v>
      </c>
      <c r="B452">
        <v>-5.3053074114789293E-4</v>
      </c>
      <c r="C452">
        <v>3.0966005087762179E-4</v>
      </c>
      <c r="D452">
        <v>-8.7993838625733782E-3</v>
      </c>
      <c r="F452">
        <v>-9.0202545528436495E-3</v>
      </c>
    </row>
    <row r="453" spans="1:6">
      <c r="A453" t="s">
        <v>456</v>
      </c>
      <c r="B453">
        <v>-2.141439292115918E-3</v>
      </c>
      <c r="C453">
        <v>-3.4372655700615198E-3</v>
      </c>
      <c r="D453">
        <v>-1.7758958047326912E-2</v>
      </c>
      <c r="F453">
        <v>-2.3337662909504349E-2</v>
      </c>
    </row>
    <row r="454" spans="1:6">
      <c r="A454" t="s">
        <v>457</v>
      </c>
      <c r="B454">
        <v>-3.6543494627756503E-4</v>
      </c>
      <c r="C454">
        <v>-1.5997273383055481E-3</v>
      </c>
      <c r="D454">
        <v>9.0916570512134965E-3</v>
      </c>
      <c r="F454">
        <v>7.1264947666303839E-3</v>
      </c>
    </row>
    <row r="455" spans="1:6">
      <c r="A455" t="s">
        <v>458</v>
      </c>
      <c r="B455">
        <v>-1.0885473121097151E-3</v>
      </c>
      <c r="C455">
        <v>-1.9060890721691131E-3</v>
      </c>
      <c r="D455">
        <v>-2.40728636663003E-2</v>
      </c>
      <c r="F455">
        <v>-2.7067500050579129E-2</v>
      </c>
    </row>
    <row r="456" spans="1:6">
      <c r="A456" t="s">
        <v>459</v>
      </c>
      <c r="B456">
        <v>-2.4862917283945531E-4</v>
      </c>
      <c r="C456">
        <v>-3.2651958079794912E-4</v>
      </c>
      <c r="D456">
        <v>-6.1856458869324832E-3</v>
      </c>
      <c r="F456">
        <v>-6.7607946405698876E-3</v>
      </c>
    </row>
    <row r="457" spans="1:6">
      <c r="A457" t="s">
        <v>460</v>
      </c>
      <c r="B457">
        <v>3.7548231810304272E-3</v>
      </c>
      <c r="C457">
        <v>2.4655660416650791E-3</v>
      </c>
      <c r="D457">
        <v>3.7366502571919993E-2</v>
      </c>
      <c r="F457">
        <v>4.3586891794615487E-2</v>
      </c>
    </row>
    <row r="458" spans="1:6">
      <c r="A458" t="s">
        <v>461</v>
      </c>
      <c r="B458">
        <v>-3.5380310194683602E-3</v>
      </c>
      <c r="C458">
        <v>-3.6226351892160611E-3</v>
      </c>
      <c r="D458">
        <v>-4.1773476979579532E-2</v>
      </c>
      <c r="F458">
        <v>-4.8934143188263952E-2</v>
      </c>
    </row>
    <row r="459" spans="1:6">
      <c r="A459" t="s">
        <v>462</v>
      </c>
      <c r="B459">
        <v>-1.2610404846125539E-4</v>
      </c>
      <c r="C459">
        <v>-1.656098541062241E-3</v>
      </c>
      <c r="D459">
        <v>-6.2746859492114606E-3</v>
      </c>
      <c r="F459">
        <v>-8.0568885387349576E-3</v>
      </c>
    </row>
    <row r="460" spans="1:6">
      <c r="A460" t="s">
        <v>463</v>
      </c>
      <c r="B460">
        <v>1.0805906100216181E-3</v>
      </c>
      <c r="C460">
        <v>-3.3390998373335863E-4</v>
      </c>
      <c r="D460">
        <v>2.5302604057476679E-2</v>
      </c>
      <c r="F460">
        <v>2.6049284683764939E-2</v>
      </c>
    </row>
    <row r="461" spans="1:6">
      <c r="A461" t="s">
        <v>464</v>
      </c>
      <c r="B461">
        <v>2.1682636563209552E-3</v>
      </c>
      <c r="C461">
        <v>2.6034615585645818E-3</v>
      </c>
      <c r="D461">
        <v>1.541263930688957E-2</v>
      </c>
      <c r="F461">
        <v>2.0184364521775109E-2</v>
      </c>
    </row>
    <row r="462" spans="1:6">
      <c r="A462" t="s">
        <v>465</v>
      </c>
      <c r="B462">
        <v>-1.8217410205940209E-4</v>
      </c>
      <c r="C462">
        <v>1.275976014288844E-3</v>
      </c>
      <c r="D462">
        <v>-3.021539996668043E-3</v>
      </c>
      <c r="F462">
        <v>-1.927738084438602E-3</v>
      </c>
    </row>
    <row r="463" spans="1:6">
      <c r="A463" t="s">
        <v>466</v>
      </c>
      <c r="B463">
        <v>-6.084198810406853E-4</v>
      </c>
      <c r="C463">
        <v>-1.7578557050367061E-3</v>
      </c>
      <c r="D463">
        <v>3.0273759846495669E-3</v>
      </c>
      <c r="F463">
        <v>6.6110039857217523E-4</v>
      </c>
    </row>
    <row r="464" spans="1:6">
      <c r="A464" t="s">
        <v>467</v>
      </c>
      <c r="B464">
        <v>2.492873472620471E-3</v>
      </c>
      <c r="C464">
        <v>-1.1178964068995581E-3</v>
      </c>
      <c r="D464">
        <v>-1.8152255444588001E-2</v>
      </c>
      <c r="F464">
        <v>-1.677727837886708E-2</v>
      </c>
    </row>
    <row r="465" spans="1:6">
      <c r="A465" t="s">
        <v>468</v>
      </c>
      <c r="B465">
        <v>9.8942859115190075E-4</v>
      </c>
      <c r="C465">
        <v>0</v>
      </c>
      <c r="D465">
        <v>1.230799834423317E-2</v>
      </c>
      <c r="F465">
        <v>1.3297426935385071E-2</v>
      </c>
    </row>
    <row r="466" spans="1:6">
      <c r="A466" t="s">
        <v>469</v>
      </c>
      <c r="B466">
        <v>4.8822219658858072E-4</v>
      </c>
      <c r="C466">
        <v>1.602930431953916E-3</v>
      </c>
      <c r="D466">
        <v>1.2146481395356399E-2</v>
      </c>
      <c r="F466">
        <v>1.4237634023898899E-2</v>
      </c>
    </row>
    <row r="467" spans="1:6">
      <c r="A467" t="s">
        <v>470</v>
      </c>
      <c r="B467">
        <v>1.203421614941465E-4</v>
      </c>
      <c r="C467">
        <v>4.7412865925545371E-4</v>
      </c>
      <c r="D467">
        <v>-2.9939929726247442E-3</v>
      </c>
      <c r="F467">
        <v>-2.3995221518751438E-3</v>
      </c>
    </row>
    <row r="468" spans="1:6">
      <c r="A468" t="s">
        <v>471</v>
      </c>
      <c r="B468">
        <v>-1.206316197379243E-3</v>
      </c>
      <c r="C468">
        <v>7.9211512989343761E-4</v>
      </c>
      <c r="D468">
        <v>9.003583215245468E-3</v>
      </c>
      <c r="F468">
        <v>8.5893821477596635E-3</v>
      </c>
    </row>
    <row r="469" spans="1:6">
      <c r="A469" t="s">
        <v>472</v>
      </c>
      <c r="B469">
        <v>0</v>
      </c>
      <c r="C469">
        <v>3.1414771716380873E-4</v>
      </c>
      <c r="D469">
        <v>2.0829448740414161E-2</v>
      </c>
      <c r="F469">
        <v>2.1143596457577969E-2</v>
      </c>
    </row>
    <row r="470" spans="1:6">
      <c r="A470" t="s">
        <v>473</v>
      </c>
      <c r="B470">
        <v>-4.6851116013773008E-4</v>
      </c>
      <c r="C470">
        <v>9.2292911081343564E-4</v>
      </c>
      <c r="D470">
        <v>-8.7420678482465503E-3</v>
      </c>
      <c r="F470">
        <v>-8.2876498975708451E-3</v>
      </c>
    </row>
    <row r="471" spans="1:6">
      <c r="A471" t="s">
        <v>474</v>
      </c>
      <c r="B471">
        <v>-1.7715992448163261E-4</v>
      </c>
      <c r="C471">
        <v>-4.653209727186067E-4</v>
      </c>
      <c r="D471">
        <v>1.46918741900371E-2</v>
      </c>
      <c r="F471">
        <v>1.4049393292836859E-2</v>
      </c>
    </row>
    <row r="472" spans="1:6">
      <c r="A472" t="s">
        <v>475</v>
      </c>
      <c r="B472">
        <v>-1.3394082149017061E-3</v>
      </c>
      <c r="C472">
        <v>-2.2943703521561671E-3</v>
      </c>
      <c r="D472">
        <v>-2.0283650877459911E-2</v>
      </c>
      <c r="F472">
        <v>-2.3917429444517791E-2</v>
      </c>
    </row>
    <row r="473" spans="1:6">
      <c r="A473" t="s">
        <v>476</v>
      </c>
      <c r="B473">
        <v>-4.1887824049527438E-4</v>
      </c>
      <c r="C473">
        <v>3.1434524627271359E-4</v>
      </c>
      <c r="D473">
        <v>5.9347579039149981E-3</v>
      </c>
      <c r="F473">
        <v>5.830224909692437E-3</v>
      </c>
    </row>
    <row r="474" spans="1:6">
      <c r="A474" t="s">
        <v>477</v>
      </c>
      <c r="B474">
        <v>-9.5188626724840698E-4</v>
      </c>
      <c r="C474">
        <v>-1.7188774125923209E-3</v>
      </c>
      <c r="D474">
        <v>-1.770107247805517E-2</v>
      </c>
      <c r="F474">
        <v>-2.0371836157895899E-2</v>
      </c>
    </row>
    <row r="475" spans="1:6">
      <c r="A475" t="s">
        <v>478</v>
      </c>
      <c r="B475">
        <v>-1.2753315715868939E-3</v>
      </c>
      <c r="C475">
        <v>-1.1165778211710039E-3</v>
      </c>
      <c r="D475">
        <v>-9.0345873727392199E-3</v>
      </c>
      <c r="F475">
        <v>-1.142649676549712E-2</v>
      </c>
    </row>
    <row r="476" spans="1:6">
      <c r="A476" t="s">
        <v>479</v>
      </c>
      <c r="B476">
        <v>-6.7575230473653197E-4</v>
      </c>
      <c r="C476">
        <v>-4.8406451352855641E-4</v>
      </c>
      <c r="D476">
        <v>-3.0463380966544388E-3</v>
      </c>
      <c r="F476">
        <v>-4.2061549149195266E-3</v>
      </c>
    </row>
    <row r="477" spans="1:6">
      <c r="A477" t="s">
        <v>480</v>
      </c>
      <c r="B477">
        <v>6.1691511758713819E-5</v>
      </c>
      <c r="C477">
        <v>-1.62036387992603E-4</v>
      </c>
      <c r="D477">
        <v>0</v>
      </c>
      <c r="F477">
        <v>-1.003448762338892E-4</v>
      </c>
    </row>
    <row r="478" spans="1:6">
      <c r="A478" t="s">
        <v>481</v>
      </c>
      <c r="B478">
        <v>1.2339540561413179E-3</v>
      </c>
      <c r="C478">
        <v>1.782579140601874E-3</v>
      </c>
      <c r="D478">
        <v>0</v>
      </c>
      <c r="F478">
        <v>3.0165331967431921E-3</v>
      </c>
    </row>
    <row r="479" spans="1:6">
      <c r="A479" t="s">
        <v>482</v>
      </c>
      <c r="B479">
        <v>2.5835102733929509E-3</v>
      </c>
      <c r="C479">
        <v>8.0782641054351432E-4</v>
      </c>
      <c r="D479">
        <v>2.1352178614233389E-2</v>
      </c>
      <c r="F479">
        <v>2.4743515298169861E-2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0"/>
  <dimension ref="A1:G9"/>
  <sheetViews>
    <sheetView workbookViewId="0"/>
  </sheetViews>
  <sheetFormatPr baseColWidth="10" defaultColWidth="9" defaultRowHeight="14"/>
  <sheetData>
    <row r="1" spans="1:7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</row>
    <row r="2" spans="1:7">
      <c r="A2" t="s">
        <v>5</v>
      </c>
      <c r="B2" t="s">
        <v>5</v>
      </c>
      <c r="C2">
        <v>3</v>
      </c>
      <c r="D2">
        <v>0</v>
      </c>
      <c r="E2">
        <v>0</v>
      </c>
      <c r="F2">
        <v>3</v>
      </c>
      <c r="G2">
        <v>0</v>
      </c>
    </row>
    <row r="3" spans="1:7">
      <c r="A3" t="s">
        <v>59</v>
      </c>
      <c r="B3" t="s">
        <v>64</v>
      </c>
      <c r="C3">
        <v>3</v>
      </c>
      <c r="D3">
        <v>0</v>
      </c>
      <c r="E3">
        <v>0</v>
      </c>
      <c r="F3">
        <v>3</v>
      </c>
      <c r="G3">
        <v>4.5796390265130243E-3</v>
      </c>
    </row>
    <row r="4" spans="1:7">
      <c r="A4" t="s">
        <v>120</v>
      </c>
      <c r="B4" t="s">
        <v>125</v>
      </c>
      <c r="C4">
        <v>3</v>
      </c>
      <c r="D4">
        <v>0</v>
      </c>
      <c r="E4">
        <v>0</v>
      </c>
      <c r="F4">
        <v>3</v>
      </c>
      <c r="G4">
        <v>1.110203791951168E-3</v>
      </c>
    </row>
    <row r="5" spans="1:7">
      <c r="A5" t="s">
        <v>183</v>
      </c>
      <c r="B5" t="s">
        <v>188</v>
      </c>
      <c r="C5">
        <v>3</v>
      </c>
      <c r="D5">
        <v>0</v>
      </c>
      <c r="E5">
        <v>0</v>
      </c>
      <c r="F5">
        <v>3</v>
      </c>
      <c r="G5">
        <v>3.5705926637274038E-3</v>
      </c>
    </row>
    <row r="6" spans="1:7">
      <c r="A6" t="s">
        <v>245</v>
      </c>
      <c r="B6" t="s">
        <v>250</v>
      </c>
      <c r="C6">
        <v>3</v>
      </c>
      <c r="D6">
        <v>0</v>
      </c>
      <c r="E6">
        <v>0</v>
      </c>
      <c r="F6">
        <v>3</v>
      </c>
      <c r="G6">
        <v>3.951977915690949E-3</v>
      </c>
    </row>
    <row r="7" spans="1:7">
      <c r="A7" t="s">
        <v>300</v>
      </c>
      <c r="B7" t="s">
        <v>305</v>
      </c>
      <c r="C7">
        <v>3</v>
      </c>
      <c r="D7">
        <v>0</v>
      </c>
      <c r="E7">
        <v>0</v>
      </c>
      <c r="F7">
        <v>3</v>
      </c>
      <c r="G7">
        <v>3.154167595066495E-3</v>
      </c>
    </row>
    <row r="8" spans="1:7">
      <c r="A8" t="s">
        <v>361</v>
      </c>
      <c r="B8" t="s">
        <v>366</v>
      </c>
      <c r="C8">
        <v>3</v>
      </c>
      <c r="D8">
        <v>0</v>
      </c>
      <c r="E8">
        <v>0</v>
      </c>
      <c r="F8">
        <v>3</v>
      </c>
      <c r="G8">
        <v>2.2112384622728458E-3</v>
      </c>
    </row>
    <row r="9" spans="1:7">
      <c r="A9" t="s">
        <v>426</v>
      </c>
      <c r="B9" t="s">
        <v>431</v>
      </c>
      <c r="C9">
        <v>3</v>
      </c>
      <c r="D9">
        <v>1</v>
      </c>
      <c r="E9">
        <v>1</v>
      </c>
      <c r="F9">
        <v>2</v>
      </c>
      <c r="G9">
        <v>5.7798384548499199E-2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1"/>
  <dimension ref="A1:D211"/>
  <sheetViews>
    <sheetView workbookViewId="0"/>
  </sheetViews>
  <sheetFormatPr baseColWidth="10" defaultColWidth="9" defaultRowHeight="14"/>
  <sheetData>
    <row r="1" spans="1:4">
      <c r="A1" s="1" t="s">
        <v>0</v>
      </c>
      <c r="B1" s="1" t="s">
        <v>495</v>
      </c>
      <c r="C1" s="1" t="s">
        <v>496</v>
      </c>
      <c r="D1" s="1" t="s">
        <v>497</v>
      </c>
    </row>
    <row r="2" spans="1:4">
      <c r="A2" t="s">
        <v>59</v>
      </c>
      <c r="B2" t="s">
        <v>498</v>
      </c>
      <c r="C2" t="s">
        <v>485</v>
      </c>
      <c r="D2">
        <v>0.83615070690830895</v>
      </c>
    </row>
    <row r="3" spans="1:4">
      <c r="A3" t="s">
        <v>59</v>
      </c>
      <c r="B3" t="s">
        <v>498</v>
      </c>
      <c r="C3" t="s">
        <v>486</v>
      </c>
      <c r="D3">
        <v>7.738217604135196E-2</v>
      </c>
    </row>
    <row r="4" spans="1:4">
      <c r="A4" t="s">
        <v>59</v>
      </c>
      <c r="B4" t="s">
        <v>498</v>
      </c>
      <c r="C4" t="s">
        <v>484</v>
      </c>
      <c r="D4">
        <v>8.6467117050339257E-2</v>
      </c>
    </row>
    <row r="5" spans="1:4">
      <c r="A5" t="s">
        <v>59</v>
      </c>
      <c r="B5" t="s">
        <v>499</v>
      </c>
      <c r="C5" t="s">
        <v>485</v>
      </c>
      <c r="D5">
        <v>0.83736079136909014</v>
      </c>
    </row>
    <row r="6" spans="1:4">
      <c r="A6" t="s">
        <v>59</v>
      </c>
      <c r="B6" t="s">
        <v>499</v>
      </c>
      <c r="C6" t="s">
        <v>484</v>
      </c>
      <c r="D6">
        <v>8.2070491484856928E-2</v>
      </c>
    </row>
    <row r="7" spans="1:4">
      <c r="A7" t="s">
        <v>59</v>
      </c>
      <c r="B7" t="s">
        <v>499</v>
      </c>
      <c r="C7" t="s">
        <v>486</v>
      </c>
      <c r="D7">
        <v>8.0568717146052973E-2</v>
      </c>
    </row>
    <row r="8" spans="1:4">
      <c r="A8" t="s">
        <v>60</v>
      </c>
      <c r="B8" t="s">
        <v>498</v>
      </c>
      <c r="C8" t="s">
        <v>485</v>
      </c>
      <c r="D8">
        <v>0.83622278935568295</v>
      </c>
    </row>
    <row r="9" spans="1:4">
      <c r="A9" t="s">
        <v>60</v>
      </c>
      <c r="B9" t="s">
        <v>498</v>
      </c>
      <c r="C9" t="s">
        <v>486</v>
      </c>
      <c r="D9">
        <v>7.6000280030961001E-2</v>
      </c>
    </row>
    <row r="10" spans="1:4">
      <c r="A10" t="s">
        <v>60</v>
      </c>
      <c r="B10" t="s">
        <v>498</v>
      </c>
      <c r="C10" t="s">
        <v>484</v>
      </c>
      <c r="D10">
        <v>8.7776930613356063E-2</v>
      </c>
    </row>
    <row r="11" spans="1:4">
      <c r="A11" t="s">
        <v>60</v>
      </c>
      <c r="B11" t="s">
        <v>499</v>
      </c>
      <c r="C11" t="s">
        <v>485</v>
      </c>
      <c r="D11">
        <v>0.8375363315579436</v>
      </c>
    </row>
    <row r="12" spans="1:4">
      <c r="A12" t="s">
        <v>60</v>
      </c>
      <c r="B12" t="s">
        <v>499</v>
      </c>
      <c r="C12" t="s">
        <v>484</v>
      </c>
      <c r="D12">
        <v>8.332398679512841E-2</v>
      </c>
    </row>
    <row r="13" spans="1:4">
      <c r="A13" t="s">
        <v>60</v>
      </c>
      <c r="B13" t="s">
        <v>499</v>
      </c>
      <c r="C13" t="s">
        <v>486</v>
      </c>
      <c r="D13">
        <v>7.9139681646927987E-2</v>
      </c>
    </row>
    <row r="14" spans="1:4">
      <c r="A14" t="s">
        <v>61</v>
      </c>
      <c r="B14" t="s">
        <v>498</v>
      </c>
      <c r="C14" t="s">
        <v>485</v>
      </c>
      <c r="D14">
        <v>0.83538320394630483</v>
      </c>
    </row>
    <row r="15" spans="1:4">
      <c r="A15" t="s">
        <v>61</v>
      </c>
      <c r="B15" t="s">
        <v>498</v>
      </c>
      <c r="C15" t="s">
        <v>486</v>
      </c>
      <c r="D15">
        <v>7.4320821694628891E-2</v>
      </c>
    </row>
    <row r="16" spans="1:4">
      <c r="A16" t="s">
        <v>61</v>
      </c>
      <c r="B16" t="s">
        <v>498</v>
      </c>
      <c r="C16" t="s">
        <v>484</v>
      </c>
      <c r="D16">
        <v>9.0295974359066375E-2</v>
      </c>
    </row>
    <row r="17" spans="1:4">
      <c r="A17" t="s">
        <v>61</v>
      </c>
      <c r="B17" t="s">
        <v>499</v>
      </c>
      <c r="C17" t="s">
        <v>485</v>
      </c>
      <c r="D17">
        <v>0.8368615319188597</v>
      </c>
    </row>
    <row r="18" spans="1:4">
      <c r="A18" t="s">
        <v>61</v>
      </c>
      <c r="B18" t="s">
        <v>499</v>
      </c>
      <c r="C18" t="s">
        <v>484</v>
      </c>
      <c r="D18">
        <v>8.5732255454359516E-2</v>
      </c>
    </row>
    <row r="19" spans="1:4">
      <c r="A19" t="s">
        <v>61</v>
      </c>
      <c r="B19" t="s">
        <v>499</v>
      </c>
      <c r="C19" t="s">
        <v>486</v>
      </c>
      <c r="D19">
        <v>7.7406212626780685E-2</v>
      </c>
    </row>
    <row r="20" spans="1:4">
      <c r="A20" t="s">
        <v>62</v>
      </c>
      <c r="B20" t="s">
        <v>498</v>
      </c>
      <c r="C20" t="s">
        <v>485</v>
      </c>
      <c r="D20">
        <v>0.83389269675436062</v>
      </c>
    </row>
    <row r="21" spans="1:4">
      <c r="A21" t="s">
        <v>62</v>
      </c>
      <c r="B21" t="s">
        <v>498</v>
      </c>
      <c r="C21" t="s">
        <v>486</v>
      </c>
      <c r="D21">
        <v>7.481686153373486E-2</v>
      </c>
    </row>
    <row r="22" spans="1:4">
      <c r="A22" t="s">
        <v>62</v>
      </c>
      <c r="B22" t="s">
        <v>498</v>
      </c>
      <c r="C22" t="s">
        <v>484</v>
      </c>
      <c r="D22">
        <v>9.1290441711904605E-2</v>
      </c>
    </row>
    <row r="23" spans="1:4">
      <c r="A23" t="s">
        <v>62</v>
      </c>
      <c r="B23" t="s">
        <v>499</v>
      </c>
      <c r="C23" t="s">
        <v>485</v>
      </c>
      <c r="D23">
        <v>0.83539537615636428</v>
      </c>
    </row>
    <row r="24" spans="1:4">
      <c r="A24" t="s">
        <v>62</v>
      </c>
      <c r="B24" t="s">
        <v>499</v>
      </c>
      <c r="C24" t="s">
        <v>484</v>
      </c>
      <c r="D24">
        <v>8.6679261005146849E-2</v>
      </c>
    </row>
    <row r="25" spans="1:4">
      <c r="A25" t="s">
        <v>62</v>
      </c>
      <c r="B25" t="s">
        <v>499</v>
      </c>
      <c r="C25" t="s">
        <v>486</v>
      </c>
      <c r="D25">
        <v>7.7925362838488901E-2</v>
      </c>
    </row>
    <row r="26" spans="1:4">
      <c r="A26" t="s">
        <v>63</v>
      </c>
      <c r="B26" t="s">
        <v>498</v>
      </c>
      <c r="C26" t="s">
        <v>485</v>
      </c>
      <c r="D26">
        <v>0.83543899586379511</v>
      </c>
    </row>
    <row r="27" spans="1:4">
      <c r="A27" t="s">
        <v>63</v>
      </c>
      <c r="B27" t="s">
        <v>498</v>
      </c>
      <c r="C27" t="s">
        <v>486</v>
      </c>
      <c r="D27">
        <v>7.4024716132674945E-2</v>
      </c>
    </row>
    <row r="28" spans="1:4">
      <c r="A28" t="s">
        <v>63</v>
      </c>
      <c r="B28" t="s">
        <v>498</v>
      </c>
      <c r="C28" t="s">
        <v>484</v>
      </c>
      <c r="D28">
        <v>9.0536288003529891E-2</v>
      </c>
    </row>
    <row r="29" spans="1:4">
      <c r="A29" t="s">
        <v>63</v>
      </c>
      <c r="B29" t="s">
        <v>499</v>
      </c>
      <c r="C29" t="s">
        <v>485</v>
      </c>
      <c r="D29">
        <v>0.83693779348140918</v>
      </c>
    </row>
    <row r="30" spans="1:4">
      <c r="A30" t="s">
        <v>63</v>
      </c>
      <c r="B30" t="s">
        <v>499</v>
      </c>
      <c r="C30" t="s">
        <v>484</v>
      </c>
      <c r="D30">
        <v>8.5962515532415754E-2</v>
      </c>
    </row>
    <row r="31" spans="1:4">
      <c r="A31" t="s">
        <v>63</v>
      </c>
      <c r="B31" t="s">
        <v>499</v>
      </c>
      <c r="C31" t="s">
        <v>486</v>
      </c>
      <c r="D31">
        <v>7.7099690986175057E-2</v>
      </c>
    </row>
    <row r="32" spans="1:4">
      <c r="A32" t="s">
        <v>120</v>
      </c>
      <c r="B32" t="s">
        <v>498</v>
      </c>
      <c r="C32" t="s">
        <v>485</v>
      </c>
      <c r="D32">
        <v>0.8283661866661044</v>
      </c>
    </row>
    <row r="33" spans="1:4">
      <c r="A33" t="s">
        <v>120</v>
      </c>
      <c r="B33" t="s">
        <v>498</v>
      </c>
      <c r="C33" t="s">
        <v>486</v>
      </c>
      <c r="D33">
        <v>7.2703658358741333E-2</v>
      </c>
    </row>
    <row r="34" spans="1:4">
      <c r="A34" t="s">
        <v>120</v>
      </c>
      <c r="B34" t="s">
        <v>498</v>
      </c>
      <c r="C34" t="s">
        <v>484</v>
      </c>
      <c r="D34">
        <v>9.8930154975154228E-2</v>
      </c>
    </row>
    <row r="35" spans="1:4">
      <c r="A35" t="s">
        <v>120</v>
      </c>
      <c r="B35" t="s">
        <v>499</v>
      </c>
      <c r="C35" t="s">
        <v>485</v>
      </c>
      <c r="D35">
        <v>0.82805081164126704</v>
      </c>
    </row>
    <row r="36" spans="1:4">
      <c r="A36" t="s">
        <v>120</v>
      </c>
      <c r="B36" t="s">
        <v>499</v>
      </c>
      <c r="C36" t="s">
        <v>484</v>
      </c>
      <c r="D36">
        <v>9.813787741515663E-2</v>
      </c>
    </row>
    <row r="37" spans="1:4">
      <c r="A37" t="s">
        <v>120</v>
      </c>
      <c r="B37" t="s">
        <v>499</v>
      </c>
      <c r="C37" t="s">
        <v>486</v>
      </c>
      <c r="D37">
        <v>7.3811310943576236E-2</v>
      </c>
    </row>
    <row r="38" spans="1:4">
      <c r="A38" t="s">
        <v>121</v>
      </c>
      <c r="B38" t="s">
        <v>498</v>
      </c>
      <c r="C38" t="s">
        <v>485</v>
      </c>
      <c r="D38">
        <v>0.8272531889664928</v>
      </c>
    </row>
    <row r="39" spans="1:4">
      <c r="A39" t="s">
        <v>121</v>
      </c>
      <c r="B39" t="s">
        <v>498</v>
      </c>
      <c r="C39" t="s">
        <v>486</v>
      </c>
      <c r="D39">
        <v>7.3232274819913554E-2</v>
      </c>
    </row>
    <row r="40" spans="1:4">
      <c r="A40" t="s">
        <v>121</v>
      </c>
      <c r="B40" t="s">
        <v>498</v>
      </c>
      <c r="C40" t="s">
        <v>484</v>
      </c>
      <c r="D40">
        <v>9.9514536213593574E-2</v>
      </c>
    </row>
    <row r="41" spans="1:4">
      <c r="A41" t="s">
        <v>121</v>
      </c>
      <c r="B41" t="s">
        <v>499</v>
      </c>
      <c r="C41" t="s">
        <v>485</v>
      </c>
      <c r="D41">
        <v>0.82693509755143835</v>
      </c>
    </row>
    <row r="42" spans="1:4">
      <c r="A42" t="s">
        <v>121</v>
      </c>
      <c r="B42" t="s">
        <v>499</v>
      </c>
      <c r="C42" t="s">
        <v>484</v>
      </c>
      <c r="D42">
        <v>9.8717203803587991E-2</v>
      </c>
    </row>
    <row r="43" spans="1:4">
      <c r="A43" t="s">
        <v>121</v>
      </c>
      <c r="B43" t="s">
        <v>499</v>
      </c>
      <c r="C43" t="s">
        <v>486</v>
      </c>
      <c r="D43">
        <v>7.4347698644973648E-2</v>
      </c>
    </row>
    <row r="44" spans="1:4">
      <c r="A44" t="s">
        <v>122</v>
      </c>
      <c r="B44" t="s">
        <v>498</v>
      </c>
      <c r="C44" t="s">
        <v>485</v>
      </c>
      <c r="D44">
        <v>0.83280998540603157</v>
      </c>
    </row>
    <row r="45" spans="1:4">
      <c r="A45" t="s">
        <v>122</v>
      </c>
      <c r="B45" t="s">
        <v>498</v>
      </c>
      <c r="C45" t="s">
        <v>486</v>
      </c>
      <c r="D45">
        <v>7.4075875940499483E-2</v>
      </c>
    </row>
    <row r="46" spans="1:4">
      <c r="A46" t="s">
        <v>122</v>
      </c>
      <c r="B46" t="s">
        <v>498</v>
      </c>
      <c r="C46" t="s">
        <v>484</v>
      </c>
      <c r="D46">
        <v>9.3114138653468972E-2</v>
      </c>
    </row>
    <row r="47" spans="1:4">
      <c r="A47" t="s">
        <v>122</v>
      </c>
      <c r="B47" t="s">
        <v>499</v>
      </c>
      <c r="C47" t="s">
        <v>485</v>
      </c>
      <c r="D47">
        <v>0.83243815124894227</v>
      </c>
    </row>
    <row r="48" spans="1:4">
      <c r="A48" t="s">
        <v>122</v>
      </c>
      <c r="B48" t="s">
        <v>499</v>
      </c>
      <c r="C48" t="s">
        <v>484</v>
      </c>
      <c r="D48">
        <v>9.2362361739179957E-2</v>
      </c>
    </row>
    <row r="49" spans="1:4">
      <c r="A49" t="s">
        <v>122</v>
      </c>
      <c r="B49" t="s">
        <v>499</v>
      </c>
      <c r="C49" t="s">
        <v>486</v>
      </c>
      <c r="D49">
        <v>7.5199487011877689E-2</v>
      </c>
    </row>
    <row r="50" spans="1:4">
      <c r="A50" t="s">
        <v>123</v>
      </c>
      <c r="B50" t="s">
        <v>498</v>
      </c>
      <c r="C50" t="s">
        <v>485</v>
      </c>
      <c r="D50">
        <v>0.83629908044943957</v>
      </c>
    </row>
    <row r="51" spans="1:4">
      <c r="A51" t="s">
        <v>123</v>
      </c>
      <c r="B51" t="s">
        <v>498</v>
      </c>
      <c r="C51" t="s">
        <v>486</v>
      </c>
      <c r="D51">
        <v>7.2683903652305343E-2</v>
      </c>
    </row>
    <row r="52" spans="1:4">
      <c r="A52" t="s">
        <v>123</v>
      </c>
      <c r="B52" t="s">
        <v>498</v>
      </c>
      <c r="C52" t="s">
        <v>484</v>
      </c>
      <c r="D52">
        <v>9.1017015898255199E-2</v>
      </c>
    </row>
    <row r="53" spans="1:4">
      <c r="A53" t="s">
        <v>123</v>
      </c>
      <c r="B53" t="s">
        <v>499</v>
      </c>
      <c r="C53" t="s">
        <v>485</v>
      </c>
      <c r="D53">
        <v>0.83593048689472038</v>
      </c>
    </row>
    <row r="54" spans="1:4">
      <c r="A54" t="s">
        <v>123</v>
      </c>
      <c r="B54" t="s">
        <v>499</v>
      </c>
      <c r="C54" t="s">
        <v>484</v>
      </c>
      <c r="D54">
        <v>9.0282688794866894E-2</v>
      </c>
    </row>
    <row r="55" spans="1:4">
      <c r="A55" t="s">
        <v>123</v>
      </c>
      <c r="B55" t="s">
        <v>499</v>
      </c>
      <c r="C55" t="s">
        <v>486</v>
      </c>
      <c r="D55">
        <v>7.378682431041271E-2</v>
      </c>
    </row>
    <row r="56" spans="1:4">
      <c r="A56" t="s">
        <v>124</v>
      </c>
      <c r="B56" t="s">
        <v>498</v>
      </c>
      <c r="C56" t="s">
        <v>485</v>
      </c>
      <c r="D56">
        <v>0.83819034635199741</v>
      </c>
    </row>
    <row r="57" spans="1:4">
      <c r="A57" t="s">
        <v>124</v>
      </c>
      <c r="B57" t="s">
        <v>498</v>
      </c>
      <c r="C57" t="s">
        <v>486</v>
      </c>
      <c r="D57">
        <v>6.7912696940359507E-2</v>
      </c>
    </row>
    <row r="58" spans="1:4">
      <c r="A58" t="s">
        <v>124</v>
      </c>
      <c r="B58" t="s">
        <v>498</v>
      </c>
      <c r="C58" t="s">
        <v>484</v>
      </c>
      <c r="D58">
        <v>9.3896956707643101E-2</v>
      </c>
    </row>
    <row r="59" spans="1:4">
      <c r="A59" t="s">
        <v>124</v>
      </c>
      <c r="B59" t="s">
        <v>499</v>
      </c>
      <c r="C59" t="s">
        <v>485</v>
      </c>
      <c r="D59">
        <v>0.83790175016238555</v>
      </c>
    </row>
    <row r="60" spans="1:4">
      <c r="A60" t="s">
        <v>124</v>
      </c>
      <c r="B60" t="s">
        <v>499</v>
      </c>
      <c r="C60" t="s">
        <v>484</v>
      </c>
      <c r="D60">
        <v>9.3148380046918319E-2</v>
      </c>
    </row>
    <row r="61" spans="1:4">
      <c r="A61" t="s">
        <v>124</v>
      </c>
      <c r="B61" t="s">
        <v>499</v>
      </c>
      <c r="C61" t="s">
        <v>486</v>
      </c>
      <c r="D61">
        <v>6.8949869790696103E-2</v>
      </c>
    </row>
    <row r="62" spans="1:4">
      <c r="A62" t="s">
        <v>183</v>
      </c>
      <c r="B62" t="s">
        <v>498</v>
      </c>
      <c r="C62" t="s">
        <v>485</v>
      </c>
      <c r="D62">
        <v>0.85012698779406481</v>
      </c>
    </row>
    <row r="63" spans="1:4">
      <c r="A63" t="s">
        <v>183</v>
      </c>
      <c r="B63" t="s">
        <v>498</v>
      </c>
      <c r="C63" t="s">
        <v>486</v>
      </c>
      <c r="D63">
        <v>6.2077395506179203E-2</v>
      </c>
    </row>
    <row r="64" spans="1:4">
      <c r="A64" t="s">
        <v>183</v>
      </c>
      <c r="B64" t="s">
        <v>498</v>
      </c>
      <c r="C64" t="s">
        <v>484</v>
      </c>
      <c r="D64">
        <v>8.7795616699755996E-2</v>
      </c>
    </row>
    <row r="65" spans="1:4">
      <c r="A65" t="s">
        <v>183</v>
      </c>
      <c r="B65" t="s">
        <v>499</v>
      </c>
      <c r="C65" t="s">
        <v>485</v>
      </c>
      <c r="D65">
        <v>0.84650194178935845</v>
      </c>
    </row>
    <row r="66" spans="1:4">
      <c r="A66" t="s">
        <v>183</v>
      </c>
      <c r="B66" t="s">
        <v>499</v>
      </c>
      <c r="C66" t="s">
        <v>484</v>
      </c>
      <c r="D66">
        <v>9.0945747699954657E-2</v>
      </c>
    </row>
    <row r="67" spans="1:4">
      <c r="A67" t="s">
        <v>183</v>
      </c>
      <c r="B67" t="s">
        <v>499</v>
      </c>
      <c r="C67" t="s">
        <v>486</v>
      </c>
      <c r="D67">
        <v>6.2552310510686895E-2</v>
      </c>
    </row>
    <row r="68" spans="1:4">
      <c r="A68" t="s">
        <v>184</v>
      </c>
      <c r="B68" t="s">
        <v>498</v>
      </c>
      <c r="C68" t="s">
        <v>485</v>
      </c>
      <c r="D68">
        <v>0.85074189176794757</v>
      </c>
    </row>
    <row r="69" spans="1:4">
      <c r="A69" t="s">
        <v>184</v>
      </c>
      <c r="B69" t="s">
        <v>498</v>
      </c>
      <c r="C69" t="s">
        <v>486</v>
      </c>
      <c r="D69">
        <v>6.2985514229451853E-2</v>
      </c>
    </row>
    <row r="70" spans="1:4">
      <c r="A70" t="s">
        <v>184</v>
      </c>
      <c r="B70" t="s">
        <v>498</v>
      </c>
      <c r="C70" t="s">
        <v>484</v>
      </c>
      <c r="D70">
        <v>8.6272594002600692E-2</v>
      </c>
    </row>
    <row r="71" spans="1:4">
      <c r="A71" t="s">
        <v>184</v>
      </c>
      <c r="B71" t="s">
        <v>499</v>
      </c>
      <c r="C71" t="s">
        <v>485</v>
      </c>
      <c r="D71">
        <v>0.84715685356620463</v>
      </c>
    </row>
    <row r="72" spans="1:4">
      <c r="A72" t="s">
        <v>184</v>
      </c>
      <c r="B72" t="s">
        <v>499</v>
      </c>
      <c r="C72" t="s">
        <v>484</v>
      </c>
      <c r="D72">
        <v>8.9372575849920408E-2</v>
      </c>
    </row>
    <row r="73" spans="1:4">
      <c r="A73" t="s">
        <v>184</v>
      </c>
      <c r="B73" t="s">
        <v>499</v>
      </c>
      <c r="C73" t="s">
        <v>486</v>
      </c>
      <c r="D73">
        <v>6.3470570583874994E-2</v>
      </c>
    </row>
    <row r="74" spans="1:4">
      <c r="A74" t="s">
        <v>185</v>
      </c>
      <c r="B74" t="s">
        <v>498</v>
      </c>
      <c r="C74" t="s">
        <v>485</v>
      </c>
      <c r="D74">
        <v>0.84778750187331442</v>
      </c>
    </row>
    <row r="75" spans="1:4">
      <c r="A75" t="s">
        <v>185</v>
      </c>
      <c r="B75" t="s">
        <v>498</v>
      </c>
      <c r="C75" t="s">
        <v>486</v>
      </c>
      <c r="D75">
        <v>6.3477719074432115E-2</v>
      </c>
    </row>
    <row r="76" spans="1:4">
      <c r="A76" t="s">
        <v>185</v>
      </c>
      <c r="B76" t="s">
        <v>498</v>
      </c>
      <c r="C76" t="s">
        <v>484</v>
      </c>
      <c r="D76">
        <v>8.8734779052253562E-2</v>
      </c>
    </row>
    <row r="77" spans="1:4">
      <c r="A77" t="s">
        <v>185</v>
      </c>
      <c r="B77" t="s">
        <v>499</v>
      </c>
      <c r="C77" t="s">
        <v>485</v>
      </c>
      <c r="D77">
        <v>0.84412652284559297</v>
      </c>
    </row>
    <row r="78" spans="1:4">
      <c r="A78" t="s">
        <v>185</v>
      </c>
      <c r="B78" t="s">
        <v>499</v>
      </c>
      <c r="C78" t="s">
        <v>484</v>
      </c>
      <c r="D78">
        <v>9.1913608620539045E-2</v>
      </c>
    </row>
    <row r="79" spans="1:4">
      <c r="A79" t="s">
        <v>185</v>
      </c>
      <c r="B79" t="s">
        <v>499</v>
      </c>
      <c r="C79" t="s">
        <v>486</v>
      </c>
      <c r="D79">
        <v>6.3959868533867981E-2</v>
      </c>
    </row>
    <row r="80" spans="1:4">
      <c r="A80" t="s">
        <v>186</v>
      </c>
      <c r="B80" t="s">
        <v>498</v>
      </c>
      <c r="C80" t="s">
        <v>485</v>
      </c>
      <c r="D80">
        <v>0.8492150845823202</v>
      </c>
    </row>
    <row r="81" spans="1:4">
      <c r="A81" t="s">
        <v>186</v>
      </c>
      <c r="B81" t="s">
        <v>498</v>
      </c>
      <c r="C81" t="s">
        <v>486</v>
      </c>
      <c r="D81">
        <v>6.2818188231872088E-2</v>
      </c>
    </row>
    <row r="82" spans="1:4">
      <c r="A82" t="s">
        <v>186</v>
      </c>
      <c r="B82" t="s">
        <v>498</v>
      </c>
      <c r="C82" t="s">
        <v>484</v>
      </c>
      <c r="D82">
        <v>8.7966727185807683E-2</v>
      </c>
    </row>
    <row r="83" spans="1:4">
      <c r="A83" t="s">
        <v>186</v>
      </c>
      <c r="B83" t="s">
        <v>499</v>
      </c>
      <c r="C83" t="s">
        <v>485</v>
      </c>
      <c r="D83">
        <v>0.84558065540556271</v>
      </c>
    </row>
    <row r="84" spans="1:4">
      <c r="A84" t="s">
        <v>186</v>
      </c>
      <c r="B84" t="s">
        <v>499</v>
      </c>
      <c r="C84" t="s">
        <v>484</v>
      </c>
      <c r="D84">
        <v>9.112156749749388E-2</v>
      </c>
    </row>
    <row r="85" spans="1:4">
      <c r="A85" t="s">
        <v>186</v>
      </c>
      <c r="B85" t="s">
        <v>499</v>
      </c>
      <c r="C85" t="s">
        <v>486</v>
      </c>
      <c r="D85">
        <v>6.3297777096943314E-2</v>
      </c>
    </row>
    <row r="86" spans="1:4">
      <c r="A86" t="s">
        <v>187</v>
      </c>
      <c r="B86" t="s">
        <v>498</v>
      </c>
      <c r="C86" t="s">
        <v>485</v>
      </c>
      <c r="D86">
        <v>0.85223864901966784</v>
      </c>
    </row>
    <row r="87" spans="1:4">
      <c r="A87" t="s">
        <v>187</v>
      </c>
      <c r="B87" t="s">
        <v>498</v>
      </c>
      <c r="C87" t="s">
        <v>486</v>
      </c>
      <c r="D87">
        <v>6.1475163981096072E-2</v>
      </c>
    </row>
    <row r="88" spans="1:4">
      <c r="A88" t="s">
        <v>187</v>
      </c>
      <c r="B88" t="s">
        <v>498</v>
      </c>
      <c r="C88" t="s">
        <v>484</v>
      </c>
      <c r="D88">
        <v>8.6286186999236111E-2</v>
      </c>
    </row>
    <row r="89" spans="1:4">
      <c r="A89" t="s">
        <v>187</v>
      </c>
      <c r="B89" t="s">
        <v>499</v>
      </c>
      <c r="C89" t="s">
        <v>485</v>
      </c>
      <c r="D89">
        <v>0.84866211282959392</v>
      </c>
    </row>
    <row r="90" spans="1:4">
      <c r="A90" t="s">
        <v>187</v>
      </c>
      <c r="B90" t="s">
        <v>499</v>
      </c>
      <c r="C90" t="s">
        <v>484</v>
      </c>
      <c r="D90">
        <v>8.9388217122527328E-2</v>
      </c>
    </row>
    <row r="91" spans="1:4">
      <c r="A91" t="s">
        <v>187</v>
      </c>
      <c r="B91" t="s">
        <v>499</v>
      </c>
      <c r="C91" t="s">
        <v>486</v>
      </c>
      <c r="D91">
        <v>6.1949670047878748E-2</v>
      </c>
    </row>
    <row r="92" spans="1:4">
      <c r="A92" t="s">
        <v>245</v>
      </c>
      <c r="B92" t="s">
        <v>498</v>
      </c>
      <c r="C92" t="s">
        <v>485</v>
      </c>
      <c r="D92">
        <v>0.8553271566347016</v>
      </c>
    </row>
    <row r="93" spans="1:4">
      <c r="A93" t="s">
        <v>245</v>
      </c>
      <c r="B93" t="s">
        <v>498</v>
      </c>
      <c r="C93" t="s">
        <v>486</v>
      </c>
      <c r="D93">
        <v>6.7211840777832196E-2</v>
      </c>
    </row>
    <row r="94" spans="1:4">
      <c r="A94" t="s">
        <v>245</v>
      </c>
      <c r="B94" t="s">
        <v>498</v>
      </c>
      <c r="C94" t="s">
        <v>484</v>
      </c>
      <c r="D94">
        <v>7.7461002587466132E-2</v>
      </c>
    </row>
    <row r="95" spans="1:4">
      <c r="A95" t="s">
        <v>245</v>
      </c>
      <c r="B95" t="s">
        <v>499</v>
      </c>
      <c r="C95" t="s">
        <v>485</v>
      </c>
      <c r="D95">
        <v>0.85134762895348004</v>
      </c>
    </row>
    <row r="96" spans="1:4">
      <c r="A96" t="s">
        <v>245</v>
      </c>
      <c r="B96" t="s">
        <v>499</v>
      </c>
      <c r="C96" t="s">
        <v>484</v>
      </c>
      <c r="D96">
        <v>7.8720463223155457E-2</v>
      </c>
    </row>
    <row r="97" spans="1:4">
      <c r="A97" t="s">
        <v>245</v>
      </c>
      <c r="B97" t="s">
        <v>499</v>
      </c>
      <c r="C97" t="s">
        <v>486</v>
      </c>
      <c r="D97">
        <v>6.9931907823364503E-2</v>
      </c>
    </row>
    <row r="98" spans="1:4">
      <c r="A98" t="s">
        <v>246</v>
      </c>
      <c r="B98" t="s">
        <v>498</v>
      </c>
      <c r="C98" t="s">
        <v>485</v>
      </c>
      <c r="D98">
        <v>0.85857760707900888</v>
      </c>
    </row>
    <row r="99" spans="1:4">
      <c r="A99" t="s">
        <v>246</v>
      </c>
      <c r="B99" t="s">
        <v>498</v>
      </c>
      <c r="C99" t="s">
        <v>486</v>
      </c>
      <c r="D99">
        <v>6.3576749559676529E-2</v>
      </c>
    </row>
    <row r="100" spans="1:4">
      <c r="A100" t="s">
        <v>246</v>
      </c>
      <c r="B100" t="s">
        <v>498</v>
      </c>
      <c r="C100" t="s">
        <v>484</v>
      </c>
      <c r="D100">
        <v>7.7845643361314623E-2</v>
      </c>
    </row>
    <row r="101" spans="1:4">
      <c r="A101" t="s">
        <v>246</v>
      </c>
      <c r="B101" t="s">
        <v>499</v>
      </c>
      <c r="C101" t="s">
        <v>485</v>
      </c>
      <c r="D101">
        <v>0.85471627618481383</v>
      </c>
    </row>
    <row r="102" spans="1:4">
      <c r="A102" t="s">
        <v>246</v>
      </c>
      <c r="B102" t="s">
        <v>499</v>
      </c>
      <c r="C102" t="s">
        <v>484</v>
      </c>
      <c r="D102">
        <v>7.9123699817682316E-2</v>
      </c>
    </row>
    <row r="103" spans="1:4">
      <c r="A103" t="s">
        <v>246</v>
      </c>
      <c r="B103" t="s">
        <v>499</v>
      </c>
      <c r="C103" t="s">
        <v>486</v>
      </c>
      <c r="D103">
        <v>6.6160023997503925E-2</v>
      </c>
    </row>
    <row r="104" spans="1:4">
      <c r="A104" t="s">
        <v>247</v>
      </c>
      <c r="B104" t="s">
        <v>498</v>
      </c>
      <c r="C104" t="s">
        <v>485</v>
      </c>
      <c r="D104">
        <v>0.85965182402672191</v>
      </c>
    </row>
    <row r="105" spans="1:4">
      <c r="A105" t="s">
        <v>247</v>
      </c>
      <c r="B105" t="s">
        <v>498</v>
      </c>
      <c r="C105" t="s">
        <v>486</v>
      </c>
      <c r="D105">
        <v>6.376485529262195E-2</v>
      </c>
    </row>
    <row r="106" spans="1:4">
      <c r="A106" t="s">
        <v>247</v>
      </c>
      <c r="B106" t="s">
        <v>498</v>
      </c>
      <c r="C106" t="s">
        <v>484</v>
      </c>
      <c r="D106">
        <v>7.658332068065607E-2</v>
      </c>
    </row>
    <row r="107" spans="1:4">
      <c r="A107" t="s">
        <v>247</v>
      </c>
      <c r="B107" t="s">
        <v>499</v>
      </c>
      <c r="C107" t="s">
        <v>485</v>
      </c>
      <c r="D107">
        <v>0.85580099157497425</v>
      </c>
    </row>
    <row r="108" spans="1:4">
      <c r="A108" t="s">
        <v>247</v>
      </c>
      <c r="B108" t="s">
        <v>499</v>
      </c>
      <c r="C108" t="s">
        <v>484</v>
      </c>
      <c r="D108">
        <v>7.7842046888981026E-2</v>
      </c>
    </row>
    <row r="109" spans="1:4">
      <c r="A109" t="s">
        <v>247</v>
      </c>
      <c r="B109" t="s">
        <v>499</v>
      </c>
      <c r="C109" t="s">
        <v>486</v>
      </c>
      <c r="D109">
        <v>6.635696153604459E-2</v>
      </c>
    </row>
    <row r="110" spans="1:4">
      <c r="A110" t="s">
        <v>248</v>
      </c>
      <c r="B110" t="s">
        <v>498</v>
      </c>
      <c r="C110" t="s">
        <v>485</v>
      </c>
      <c r="D110">
        <v>0.8614991725376776</v>
      </c>
    </row>
    <row r="111" spans="1:4">
      <c r="A111" t="s">
        <v>248</v>
      </c>
      <c r="B111" t="s">
        <v>498</v>
      </c>
      <c r="C111" t="s">
        <v>486</v>
      </c>
      <c r="D111">
        <v>6.3745834204166046E-2</v>
      </c>
    </row>
    <row r="112" spans="1:4">
      <c r="A112" t="s">
        <v>248</v>
      </c>
      <c r="B112" t="s">
        <v>498</v>
      </c>
      <c r="C112" t="s">
        <v>484</v>
      </c>
      <c r="D112">
        <v>7.4754993258156446E-2</v>
      </c>
    </row>
    <row r="113" spans="1:4">
      <c r="A113" t="s">
        <v>248</v>
      </c>
      <c r="B113" t="s">
        <v>499</v>
      </c>
      <c r="C113" t="s">
        <v>485</v>
      </c>
      <c r="D113">
        <v>0.857673598958135</v>
      </c>
    </row>
    <row r="114" spans="1:4">
      <c r="A114" t="s">
        <v>248</v>
      </c>
      <c r="B114" t="s">
        <v>499</v>
      </c>
      <c r="C114" t="s">
        <v>484</v>
      </c>
      <c r="D114">
        <v>7.5986640007406001E-2</v>
      </c>
    </row>
    <row r="115" spans="1:4">
      <c r="A115" t="s">
        <v>248</v>
      </c>
      <c r="B115" t="s">
        <v>499</v>
      </c>
      <c r="C115" t="s">
        <v>486</v>
      </c>
      <c r="D115">
        <v>6.6339761034458891E-2</v>
      </c>
    </row>
    <row r="116" spans="1:4">
      <c r="A116" t="s">
        <v>249</v>
      </c>
      <c r="B116" t="s">
        <v>498</v>
      </c>
      <c r="C116" t="s">
        <v>485</v>
      </c>
      <c r="D116">
        <v>0.85763927145437435</v>
      </c>
    </row>
    <row r="117" spans="1:4">
      <c r="A117" t="s">
        <v>249</v>
      </c>
      <c r="B117" t="s">
        <v>498</v>
      </c>
      <c r="C117" t="s">
        <v>486</v>
      </c>
      <c r="D117">
        <v>6.6061295538991122E-2</v>
      </c>
    </row>
    <row r="118" spans="1:4">
      <c r="A118" t="s">
        <v>249</v>
      </c>
      <c r="B118" t="s">
        <v>498</v>
      </c>
      <c r="C118" t="s">
        <v>484</v>
      </c>
      <c r="D118">
        <v>7.6299433006634498E-2</v>
      </c>
    </row>
    <row r="119" spans="1:4">
      <c r="A119" t="s">
        <v>249</v>
      </c>
      <c r="B119" t="s">
        <v>499</v>
      </c>
      <c r="C119" t="s">
        <v>485</v>
      </c>
      <c r="D119">
        <v>0.85371404477765878</v>
      </c>
    </row>
    <row r="120" spans="1:4">
      <c r="A120" t="s">
        <v>249</v>
      </c>
      <c r="B120" t="s">
        <v>499</v>
      </c>
      <c r="C120" t="s">
        <v>484</v>
      </c>
      <c r="D120">
        <v>7.7545916841569515E-2</v>
      </c>
    </row>
    <row r="121" spans="1:4">
      <c r="A121" t="s">
        <v>249</v>
      </c>
      <c r="B121" t="s">
        <v>499</v>
      </c>
      <c r="C121" t="s">
        <v>486</v>
      </c>
      <c r="D121">
        <v>6.8740038380771765E-2</v>
      </c>
    </row>
    <row r="122" spans="1:4">
      <c r="A122" t="s">
        <v>300</v>
      </c>
      <c r="B122" t="s">
        <v>498</v>
      </c>
      <c r="C122" t="s">
        <v>485</v>
      </c>
      <c r="D122">
        <v>0.85111496565999623</v>
      </c>
    </row>
    <row r="123" spans="1:4">
      <c r="A123" t="s">
        <v>300</v>
      </c>
      <c r="B123" t="s">
        <v>498</v>
      </c>
      <c r="C123" t="s">
        <v>486</v>
      </c>
      <c r="D123">
        <v>7.6298081527039513E-2</v>
      </c>
    </row>
    <row r="124" spans="1:4">
      <c r="A124" t="s">
        <v>300</v>
      </c>
      <c r="B124" t="s">
        <v>498</v>
      </c>
      <c r="C124" t="s">
        <v>484</v>
      </c>
      <c r="D124">
        <v>7.2586952812964262E-2</v>
      </c>
    </row>
    <row r="125" spans="1:4">
      <c r="A125" t="s">
        <v>300</v>
      </c>
      <c r="B125" t="s">
        <v>499</v>
      </c>
      <c r="C125" t="s">
        <v>485</v>
      </c>
      <c r="D125">
        <v>0.84825951451292558</v>
      </c>
    </row>
    <row r="126" spans="1:4">
      <c r="A126" t="s">
        <v>300</v>
      </c>
      <c r="B126" t="s">
        <v>499</v>
      </c>
      <c r="C126" t="s">
        <v>486</v>
      </c>
      <c r="D126">
        <v>7.9434227862789572E-2</v>
      </c>
    </row>
    <row r="127" spans="1:4">
      <c r="A127" t="s">
        <v>300</v>
      </c>
      <c r="B127" t="s">
        <v>499</v>
      </c>
      <c r="C127" t="s">
        <v>484</v>
      </c>
      <c r="D127">
        <v>7.2306257624284873E-2</v>
      </c>
    </row>
    <row r="128" spans="1:4">
      <c r="A128" t="s">
        <v>301</v>
      </c>
      <c r="B128" t="s">
        <v>498</v>
      </c>
      <c r="C128" t="s">
        <v>485</v>
      </c>
      <c r="D128">
        <v>0.85008028109852907</v>
      </c>
    </row>
    <row r="129" spans="1:4">
      <c r="A129" t="s">
        <v>301</v>
      </c>
      <c r="B129" t="s">
        <v>498</v>
      </c>
      <c r="C129" t="s">
        <v>486</v>
      </c>
      <c r="D129">
        <v>7.7160100864431577E-2</v>
      </c>
    </row>
    <row r="130" spans="1:4">
      <c r="A130" t="s">
        <v>301</v>
      </c>
      <c r="B130" t="s">
        <v>498</v>
      </c>
      <c r="C130" t="s">
        <v>484</v>
      </c>
      <c r="D130">
        <v>7.2759618037039495E-2</v>
      </c>
    </row>
    <row r="131" spans="1:4">
      <c r="A131" t="s">
        <v>301</v>
      </c>
      <c r="B131" t="s">
        <v>499</v>
      </c>
      <c r="C131" t="s">
        <v>485</v>
      </c>
      <c r="D131">
        <v>0.84719590793093003</v>
      </c>
    </row>
    <row r="132" spans="1:4">
      <c r="A132" t="s">
        <v>301</v>
      </c>
      <c r="B132" t="s">
        <v>499</v>
      </c>
      <c r="C132" t="s">
        <v>486</v>
      </c>
      <c r="D132">
        <v>8.0328608089437467E-2</v>
      </c>
    </row>
    <row r="133" spans="1:4">
      <c r="A133" t="s">
        <v>301</v>
      </c>
      <c r="B133" t="s">
        <v>499</v>
      </c>
      <c r="C133" t="s">
        <v>484</v>
      </c>
      <c r="D133">
        <v>7.2475483979632466E-2</v>
      </c>
    </row>
    <row r="134" spans="1:4">
      <c r="A134" t="s">
        <v>302</v>
      </c>
      <c r="B134" t="s">
        <v>498</v>
      </c>
      <c r="C134" t="s">
        <v>485</v>
      </c>
      <c r="D134">
        <v>0.85032363681284084</v>
      </c>
    </row>
    <row r="135" spans="1:4">
      <c r="A135" t="s">
        <v>302</v>
      </c>
      <c r="B135" t="s">
        <v>498</v>
      </c>
      <c r="C135" t="s">
        <v>486</v>
      </c>
      <c r="D135">
        <v>7.6021639737246946E-2</v>
      </c>
    </row>
    <row r="136" spans="1:4">
      <c r="A136" t="s">
        <v>302</v>
      </c>
      <c r="B136" t="s">
        <v>498</v>
      </c>
      <c r="C136" t="s">
        <v>484</v>
      </c>
      <c r="D136">
        <v>7.3654723449912265E-2</v>
      </c>
    </row>
    <row r="137" spans="1:4">
      <c r="A137" t="s">
        <v>302</v>
      </c>
      <c r="B137" t="s">
        <v>499</v>
      </c>
      <c r="C137" t="s">
        <v>485</v>
      </c>
      <c r="D137">
        <v>0.84748171969895147</v>
      </c>
    </row>
    <row r="138" spans="1:4">
      <c r="A138" t="s">
        <v>302</v>
      </c>
      <c r="B138" t="s">
        <v>499</v>
      </c>
      <c r="C138" t="s">
        <v>486</v>
      </c>
      <c r="D138">
        <v>7.9147439265233585E-2</v>
      </c>
    </row>
    <row r="139" spans="1:4">
      <c r="A139" t="s">
        <v>302</v>
      </c>
      <c r="B139" t="s">
        <v>499</v>
      </c>
      <c r="C139" t="s">
        <v>484</v>
      </c>
      <c r="D139">
        <v>7.3370841035814968E-2</v>
      </c>
    </row>
    <row r="140" spans="1:4">
      <c r="A140" t="s">
        <v>303</v>
      </c>
      <c r="B140" t="s">
        <v>498</v>
      </c>
      <c r="C140" t="s">
        <v>485</v>
      </c>
      <c r="D140">
        <v>0.8500199844253431</v>
      </c>
    </row>
    <row r="141" spans="1:4">
      <c r="A141" t="s">
        <v>303</v>
      </c>
      <c r="B141" t="s">
        <v>498</v>
      </c>
      <c r="C141" t="s">
        <v>486</v>
      </c>
      <c r="D141">
        <v>7.6182467578990498E-2</v>
      </c>
    </row>
    <row r="142" spans="1:4">
      <c r="A142" t="s">
        <v>303</v>
      </c>
      <c r="B142" t="s">
        <v>498</v>
      </c>
      <c r="C142" t="s">
        <v>484</v>
      </c>
      <c r="D142">
        <v>7.3797547995666374E-2</v>
      </c>
    </row>
    <row r="143" spans="1:4">
      <c r="A143" t="s">
        <v>303</v>
      </c>
      <c r="B143" t="s">
        <v>499</v>
      </c>
      <c r="C143" t="s">
        <v>485</v>
      </c>
      <c r="D143">
        <v>0.84717308657677459</v>
      </c>
    </row>
    <row r="144" spans="1:4">
      <c r="A144" t="s">
        <v>303</v>
      </c>
      <c r="B144" t="s">
        <v>499</v>
      </c>
      <c r="C144" t="s">
        <v>486</v>
      </c>
      <c r="D144">
        <v>7.9314318581885895E-2</v>
      </c>
    </row>
    <row r="145" spans="1:4">
      <c r="A145" t="s">
        <v>303</v>
      </c>
      <c r="B145" t="s">
        <v>499</v>
      </c>
      <c r="C145" t="s">
        <v>484</v>
      </c>
      <c r="D145">
        <v>7.3512594841339471E-2</v>
      </c>
    </row>
    <row r="146" spans="1:4">
      <c r="A146" t="s">
        <v>304</v>
      </c>
      <c r="B146" t="s">
        <v>498</v>
      </c>
      <c r="C146" t="s">
        <v>485</v>
      </c>
      <c r="D146">
        <v>0.85320543754376321</v>
      </c>
    </row>
    <row r="147" spans="1:4">
      <c r="A147" t="s">
        <v>304</v>
      </c>
      <c r="B147" t="s">
        <v>498</v>
      </c>
      <c r="C147" t="s">
        <v>486</v>
      </c>
      <c r="D147">
        <v>7.7318956469349234E-2</v>
      </c>
    </row>
    <row r="148" spans="1:4">
      <c r="A148" t="s">
        <v>304</v>
      </c>
      <c r="B148" t="s">
        <v>498</v>
      </c>
      <c r="C148" t="s">
        <v>484</v>
      </c>
      <c r="D148">
        <v>6.9475605986887456E-2</v>
      </c>
    </row>
    <row r="149" spans="1:4">
      <c r="A149" t="s">
        <v>304</v>
      </c>
      <c r="B149" t="s">
        <v>499</v>
      </c>
      <c r="C149" t="s">
        <v>485</v>
      </c>
      <c r="D149">
        <v>0.85030302562785076</v>
      </c>
    </row>
    <row r="150" spans="1:4">
      <c r="A150" t="s">
        <v>304</v>
      </c>
      <c r="B150" t="s">
        <v>499</v>
      </c>
      <c r="C150" t="s">
        <v>486</v>
      </c>
      <c r="D150">
        <v>8.0493283131233412E-2</v>
      </c>
    </row>
    <row r="151" spans="1:4">
      <c r="A151" t="s">
        <v>304</v>
      </c>
      <c r="B151" t="s">
        <v>499</v>
      </c>
      <c r="C151" t="s">
        <v>484</v>
      </c>
      <c r="D151">
        <v>6.9203691240915841E-2</v>
      </c>
    </row>
    <row r="152" spans="1:4">
      <c r="A152" t="s">
        <v>361</v>
      </c>
      <c r="B152" t="s">
        <v>498</v>
      </c>
      <c r="C152" t="s">
        <v>485</v>
      </c>
      <c r="D152">
        <v>0.86911581891831946</v>
      </c>
    </row>
    <row r="153" spans="1:4">
      <c r="A153" t="s">
        <v>361</v>
      </c>
      <c r="B153" t="s">
        <v>498</v>
      </c>
      <c r="C153" t="s">
        <v>486</v>
      </c>
      <c r="D153">
        <v>6.0409883730024351E-2</v>
      </c>
    </row>
    <row r="154" spans="1:4">
      <c r="A154" t="s">
        <v>361</v>
      </c>
      <c r="B154" t="s">
        <v>498</v>
      </c>
      <c r="C154" t="s">
        <v>484</v>
      </c>
      <c r="D154">
        <v>7.0474297351656112E-2</v>
      </c>
    </row>
    <row r="155" spans="1:4">
      <c r="A155" t="s">
        <v>361</v>
      </c>
      <c r="B155" t="s">
        <v>499</v>
      </c>
      <c r="C155" t="s">
        <v>485</v>
      </c>
      <c r="D155">
        <v>0.86724491725066644</v>
      </c>
    </row>
    <row r="156" spans="1:4">
      <c r="A156" t="s">
        <v>361</v>
      </c>
      <c r="B156" t="s">
        <v>499</v>
      </c>
      <c r="C156" t="s">
        <v>484</v>
      </c>
      <c r="D156">
        <v>7.015039955148189E-2</v>
      </c>
    </row>
    <row r="157" spans="1:4">
      <c r="A157" t="s">
        <v>361</v>
      </c>
      <c r="B157" t="s">
        <v>499</v>
      </c>
      <c r="C157" t="s">
        <v>486</v>
      </c>
      <c r="D157">
        <v>6.2604683197851674E-2</v>
      </c>
    </row>
    <row r="158" spans="1:4">
      <c r="A158" t="s">
        <v>362</v>
      </c>
      <c r="B158" t="s">
        <v>498</v>
      </c>
      <c r="C158" t="s">
        <v>485</v>
      </c>
      <c r="D158">
        <v>0.86903848633495817</v>
      </c>
    </row>
    <row r="159" spans="1:4">
      <c r="A159" t="s">
        <v>362</v>
      </c>
      <c r="B159" t="s">
        <v>498</v>
      </c>
      <c r="C159" t="s">
        <v>486</v>
      </c>
      <c r="D159">
        <v>6.0192953591036352E-2</v>
      </c>
    </row>
    <row r="160" spans="1:4">
      <c r="A160" t="s">
        <v>362</v>
      </c>
      <c r="B160" t="s">
        <v>498</v>
      </c>
      <c r="C160" t="s">
        <v>484</v>
      </c>
      <c r="D160">
        <v>7.0768560074005366E-2</v>
      </c>
    </row>
    <row r="161" spans="1:4">
      <c r="A161" t="s">
        <v>362</v>
      </c>
      <c r="B161" t="s">
        <v>499</v>
      </c>
      <c r="C161" t="s">
        <v>485</v>
      </c>
      <c r="D161">
        <v>0.86717561417760913</v>
      </c>
    </row>
    <row r="162" spans="1:4">
      <c r="A162" t="s">
        <v>362</v>
      </c>
      <c r="B162" t="s">
        <v>499</v>
      </c>
      <c r="C162" t="s">
        <v>484</v>
      </c>
      <c r="D162">
        <v>7.0443948595454789E-2</v>
      </c>
    </row>
    <row r="163" spans="1:4">
      <c r="A163" t="s">
        <v>362</v>
      </c>
      <c r="B163" t="s">
        <v>499</v>
      </c>
      <c r="C163" t="s">
        <v>486</v>
      </c>
      <c r="D163">
        <v>6.2380437226936057E-2</v>
      </c>
    </row>
    <row r="164" spans="1:4">
      <c r="A164" t="s">
        <v>363</v>
      </c>
      <c r="B164" t="s">
        <v>498</v>
      </c>
      <c r="C164" t="s">
        <v>485</v>
      </c>
      <c r="D164">
        <v>0.87168187257338836</v>
      </c>
    </row>
    <row r="165" spans="1:4">
      <c r="A165" t="s">
        <v>363</v>
      </c>
      <c r="B165" t="s">
        <v>498</v>
      </c>
      <c r="C165" t="s">
        <v>486</v>
      </c>
      <c r="D165">
        <v>6.1323119916798237E-2</v>
      </c>
    </row>
    <row r="166" spans="1:4">
      <c r="A166" t="s">
        <v>363</v>
      </c>
      <c r="B166" t="s">
        <v>498</v>
      </c>
      <c r="C166" t="s">
        <v>484</v>
      </c>
      <c r="D166">
        <v>6.6995007509813451E-2</v>
      </c>
    </row>
    <row r="167" spans="1:4">
      <c r="A167" t="s">
        <v>363</v>
      </c>
      <c r="B167" t="s">
        <v>499</v>
      </c>
      <c r="C167" t="s">
        <v>485</v>
      </c>
      <c r="D167">
        <v>0.86976748486422872</v>
      </c>
    </row>
    <row r="168" spans="1:4">
      <c r="A168" t="s">
        <v>363</v>
      </c>
      <c r="B168" t="s">
        <v>499</v>
      </c>
      <c r="C168" t="s">
        <v>484</v>
      </c>
      <c r="D168">
        <v>6.6684189898093119E-2</v>
      </c>
    </row>
    <row r="169" spans="1:4">
      <c r="A169" t="s">
        <v>363</v>
      </c>
      <c r="B169" t="s">
        <v>499</v>
      </c>
      <c r="C169" t="s">
        <v>486</v>
      </c>
      <c r="D169">
        <v>6.3548325237678102E-2</v>
      </c>
    </row>
    <row r="170" spans="1:4">
      <c r="A170" t="s">
        <v>364</v>
      </c>
      <c r="B170" t="s">
        <v>498</v>
      </c>
      <c r="C170" t="s">
        <v>485</v>
      </c>
      <c r="D170">
        <v>0.87353564428501107</v>
      </c>
    </row>
    <row r="171" spans="1:4">
      <c r="A171" t="s">
        <v>364</v>
      </c>
      <c r="B171" t="s">
        <v>498</v>
      </c>
      <c r="C171" t="s">
        <v>486</v>
      </c>
      <c r="D171">
        <v>5.880978693504537E-2</v>
      </c>
    </row>
    <row r="172" spans="1:4">
      <c r="A172" t="s">
        <v>364</v>
      </c>
      <c r="B172" t="s">
        <v>498</v>
      </c>
      <c r="C172" t="s">
        <v>484</v>
      </c>
      <c r="D172">
        <v>6.7654568779943622E-2</v>
      </c>
    </row>
    <row r="173" spans="1:4">
      <c r="A173" t="s">
        <v>364</v>
      </c>
      <c r="B173" t="s">
        <v>499</v>
      </c>
      <c r="C173" t="s">
        <v>485</v>
      </c>
      <c r="D173">
        <v>0.8717029011325671</v>
      </c>
    </row>
    <row r="174" spans="1:4">
      <c r="A174" t="s">
        <v>364</v>
      </c>
      <c r="B174" t="s">
        <v>499</v>
      </c>
      <c r="C174" t="s">
        <v>484</v>
      </c>
      <c r="D174">
        <v>6.7347313549063703E-2</v>
      </c>
    </row>
    <row r="175" spans="1:4">
      <c r="A175" t="s">
        <v>364</v>
      </c>
      <c r="B175" t="s">
        <v>499</v>
      </c>
      <c r="C175" t="s">
        <v>486</v>
      </c>
      <c r="D175">
        <v>6.0949785318369171E-2</v>
      </c>
    </row>
    <row r="176" spans="1:4">
      <c r="A176" t="s">
        <v>365</v>
      </c>
      <c r="B176" t="s">
        <v>498</v>
      </c>
      <c r="C176" t="s">
        <v>485</v>
      </c>
      <c r="D176">
        <v>0.87329993659770799</v>
      </c>
    </row>
    <row r="177" spans="1:4">
      <c r="A177" t="s">
        <v>365</v>
      </c>
      <c r="B177" t="s">
        <v>498</v>
      </c>
      <c r="C177" t="s">
        <v>486</v>
      </c>
      <c r="D177">
        <v>5.9995013142573238E-2</v>
      </c>
    </row>
    <row r="178" spans="1:4">
      <c r="A178" t="s">
        <v>365</v>
      </c>
      <c r="B178" t="s">
        <v>498</v>
      </c>
      <c r="C178" t="s">
        <v>484</v>
      </c>
      <c r="D178">
        <v>6.6705050259718776E-2</v>
      </c>
    </row>
    <row r="179" spans="1:4">
      <c r="A179" t="s">
        <v>365</v>
      </c>
      <c r="B179" t="s">
        <v>499</v>
      </c>
      <c r="C179" t="s">
        <v>485</v>
      </c>
      <c r="D179">
        <v>0.87142591585258966</v>
      </c>
    </row>
    <row r="180" spans="1:4">
      <c r="A180" t="s">
        <v>365</v>
      </c>
      <c r="B180" t="s">
        <v>499</v>
      </c>
      <c r="C180" t="s">
        <v>484</v>
      </c>
      <c r="D180">
        <v>6.6398924438250559E-2</v>
      </c>
    </row>
    <row r="181" spans="1:4">
      <c r="A181" t="s">
        <v>365</v>
      </c>
      <c r="B181" t="s">
        <v>499</v>
      </c>
      <c r="C181" t="s">
        <v>486</v>
      </c>
      <c r="D181">
        <v>6.2175159709159739E-2</v>
      </c>
    </row>
    <row r="182" spans="1:4">
      <c r="A182" t="s">
        <v>426</v>
      </c>
      <c r="B182" t="s">
        <v>498</v>
      </c>
      <c r="C182" t="s">
        <v>485</v>
      </c>
      <c r="D182">
        <v>0.87413529842603033</v>
      </c>
    </row>
    <row r="183" spans="1:4">
      <c r="A183" t="s">
        <v>426</v>
      </c>
      <c r="B183" t="s">
        <v>498</v>
      </c>
      <c r="C183" t="s">
        <v>486</v>
      </c>
      <c r="D183">
        <v>5.1095828078447522E-2</v>
      </c>
    </row>
    <row r="184" spans="1:4">
      <c r="A184" t="s">
        <v>426</v>
      </c>
      <c r="B184" t="s">
        <v>498</v>
      </c>
      <c r="C184" t="s">
        <v>484</v>
      </c>
      <c r="D184">
        <v>7.4768873495522026E-2</v>
      </c>
    </row>
    <row r="185" spans="1:4">
      <c r="A185" t="s">
        <v>426</v>
      </c>
      <c r="B185" t="s">
        <v>499</v>
      </c>
      <c r="C185" t="s">
        <v>485</v>
      </c>
      <c r="D185">
        <v>0.86720498659437006</v>
      </c>
    </row>
    <row r="186" spans="1:4">
      <c r="A186" t="s">
        <v>426</v>
      </c>
      <c r="B186" t="s">
        <v>499</v>
      </c>
      <c r="C186" t="s">
        <v>484</v>
      </c>
      <c r="D186">
        <v>7.5768585938225969E-2</v>
      </c>
    </row>
    <row r="187" spans="1:4">
      <c r="A187" t="s">
        <v>426</v>
      </c>
      <c r="B187" t="s">
        <v>499</v>
      </c>
      <c r="C187" t="s">
        <v>483</v>
      </c>
      <c r="D187">
        <v>5.7026427467403822E-2</v>
      </c>
    </row>
    <row r="188" spans="1:4">
      <c r="A188" t="s">
        <v>427</v>
      </c>
      <c r="B188" t="s">
        <v>498</v>
      </c>
      <c r="C188" t="s">
        <v>485</v>
      </c>
      <c r="D188">
        <v>0.87590914745482329</v>
      </c>
    </row>
    <row r="189" spans="1:4">
      <c r="A189" t="s">
        <v>427</v>
      </c>
      <c r="B189" t="s">
        <v>498</v>
      </c>
      <c r="C189" t="s">
        <v>486</v>
      </c>
      <c r="D189">
        <v>4.9276273175638173E-2</v>
      </c>
    </row>
    <row r="190" spans="1:4">
      <c r="A190" t="s">
        <v>427</v>
      </c>
      <c r="B190" t="s">
        <v>498</v>
      </c>
      <c r="C190" t="s">
        <v>484</v>
      </c>
      <c r="D190">
        <v>7.4814579369538475E-2</v>
      </c>
    </row>
    <row r="191" spans="1:4">
      <c r="A191" t="s">
        <v>427</v>
      </c>
      <c r="B191" t="s">
        <v>499</v>
      </c>
      <c r="C191" t="s">
        <v>485</v>
      </c>
      <c r="D191">
        <v>0.86707487711527365</v>
      </c>
    </row>
    <row r="192" spans="1:4">
      <c r="A192" t="s">
        <v>427</v>
      </c>
      <c r="B192" t="s">
        <v>499</v>
      </c>
      <c r="C192" t="s">
        <v>484</v>
      </c>
      <c r="D192">
        <v>7.5650014529493478E-2</v>
      </c>
    </row>
    <row r="193" spans="1:4">
      <c r="A193" t="s">
        <v>427</v>
      </c>
      <c r="B193" t="s">
        <v>499</v>
      </c>
      <c r="C193" t="s">
        <v>483</v>
      </c>
      <c r="D193">
        <v>5.7275108355232897E-2</v>
      </c>
    </row>
    <row r="194" spans="1:4">
      <c r="A194" t="s">
        <v>428</v>
      </c>
      <c r="B194" t="s">
        <v>498</v>
      </c>
      <c r="C194" t="s">
        <v>485</v>
      </c>
      <c r="D194">
        <v>0.87737174902136617</v>
      </c>
    </row>
    <row r="195" spans="1:4">
      <c r="A195" t="s">
        <v>428</v>
      </c>
      <c r="B195" t="s">
        <v>498</v>
      </c>
      <c r="C195" t="s">
        <v>486</v>
      </c>
      <c r="D195">
        <v>4.7725722024347737E-2</v>
      </c>
    </row>
    <row r="196" spans="1:4">
      <c r="A196" t="s">
        <v>428</v>
      </c>
      <c r="B196" t="s">
        <v>498</v>
      </c>
      <c r="C196" t="s">
        <v>484</v>
      </c>
      <c r="D196">
        <v>7.4902528954286077E-2</v>
      </c>
    </row>
    <row r="197" spans="1:4">
      <c r="A197" t="s">
        <v>428</v>
      </c>
      <c r="B197" t="s">
        <v>499</v>
      </c>
      <c r="C197" t="s">
        <v>485</v>
      </c>
      <c r="D197">
        <v>0.86728962477046279</v>
      </c>
    </row>
    <row r="198" spans="1:4">
      <c r="A198" t="s">
        <v>428</v>
      </c>
      <c r="B198" t="s">
        <v>499</v>
      </c>
      <c r="C198" t="s">
        <v>484</v>
      </c>
      <c r="D198">
        <v>7.5631414354113954E-2</v>
      </c>
    </row>
    <row r="199" spans="1:4">
      <c r="A199" t="s">
        <v>428</v>
      </c>
      <c r="B199" t="s">
        <v>499</v>
      </c>
      <c r="C199" t="s">
        <v>483</v>
      </c>
      <c r="D199">
        <v>5.7078960875423412E-2</v>
      </c>
    </row>
    <row r="200" spans="1:4">
      <c r="A200" t="s">
        <v>429</v>
      </c>
      <c r="B200" t="s">
        <v>498</v>
      </c>
      <c r="C200" t="s">
        <v>485</v>
      </c>
      <c r="D200">
        <v>0.87850300194065623</v>
      </c>
    </row>
    <row r="201" spans="1:4">
      <c r="A201" t="s">
        <v>429</v>
      </c>
      <c r="B201" t="s">
        <v>498</v>
      </c>
      <c r="C201" t="s">
        <v>486</v>
      </c>
      <c r="D201">
        <v>4.8048594493590772E-2</v>
      </c>
    </row>
    <row r="202" spans="1:4">
      <c r="A202" t="s">
        <v>429</v>
      </c>
      <c r="B202" t="s">
        <v>498</v>
      </c>
      <c r="C202" t="s">
        <v>484</v>
      </c>
      <c r="D202">
        <v>7.344840356575312E-2</v>
      </c>
    </row>
    <row r="203" spans="1:4">
      <c r="A203" t="s">
        <v>429</v>
      </c>
      <c r="B203" t="s">
        <v>499</v>
      </c>
      <c r="C203" t="s">
        <v>485</v>
      </c>
      <c r="D203">
        <v>0.86729198710014344</v>
      </c>
    </row>
    <row r="204" spans="1:4">
      <c r="A204" t="s">
        <v>429</v>
      </c>
      <c r="B204" t="s">
        <v>499</v>
      </c>
      <c r="C204" t="s">
        <v>484</v>
      </c>
      <c r="D204">
        <v>7.4067840182444902E-2</v>
      </c>
    </row>
    <row r="205" spans="1:4">
      <c r="A205" t="s">
        <v>429</v>
      </c>
      <c r="B205" t="s">
        <v>499</v>
      </c>
      <c r="C205" t="s">
        <v>483</v>
      </c>
      <c r="D205">
        <v>5.8640172717411718E-2</v>
      </c>
    </row>
    <row r="206" spans="1:4">
      <c r="A206" t="s">
        <v>430</v>
      </c>
      <c r="B206" t="s">
        <v>498</v>
      </c>
      <c r="C206" t="s">
        <v>485</v>
      </c>
      <c r="D206">
        <v>0.88039854008759399</v>
      </c>
    </row>
    <row r="207" spans="1:4">
      <c r="A207" t="s">
        <v>430</v>
      </c>
      <c r="B207" t="s">
        <v>498</v>
      </c>
      <c r="C207" t="s">
        <v>486</v>
      </c>
      <c r="D207">
        <v>4.7155769245765852E-2</v>
      </c>
    </row>
    <row r="208" spans="1:4">
      <c r="A208" t="s">
        <v>430</v>
      </c>
      <c r="B208" t="s">
        <v>498</v>
      </c>
      <c r="C208" t="s">
        <v>484</v>
      </c>
      <c r="D208">
        <v>7.244569066664025E-2</v>
      </c>
    </row>
    <row r="209" spans="1:4">
      <c r="A209" t="s">
        <v>430</v>
      </c>
      <c r="B209" t="s">
        <v>499</v>
      </c>
      <c r="C209" t="s">
        <v>485</v>
      </c>
      <c r="D209">
        <v>0.86717557197119444</v>
      </c>
    </row>
    <row r="210" spans="1:4">
      <c r="A210" t="s">
        <v>430</v>
      </c>
      <c r="B210" t="s">
        <v>499</v>
      </c>
      <c r="C210" t="s">
        <v>484</v>
      </c>
      <c r="D210">
        <v>7.2889591276059013E-2</v>
      </c>
    </row>
    <row r="211" spans="1:4">
      <c r="A211" t="s">
        <v>430</v>
      </c>
      <c r="B211" t="s">
        <v>499</v>
      </c>
      <c r="C211" t="s">
        <v>483</v>
      </c>
      <c r="D211">
        <v>5.993483675274653E-2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每日指數值</vt:lpstr>
      <vt:lpstr>投資後權重</vt:lpstr>
      <vt:lpstr>標準化權重</vt:lpstr>
      <vt:lpstr>驗證 </vt:lpstr>
      <vt:lpstr>每日權重</vt:lpstr>
      <vt:lpstr>現金股利</vt:lpstr>
      <vt:lpstr>每日收盤價</vt:lpstr>
      <vt:lpstr>每日報酬率</vt:lpstr>
      <vt:lpstr>每日貢獻度</vt:lpstr>
      <vt:lpstr>調倉摘要</vt:lpstr>
      <vt:lpstr>過渡期權重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2026-01-01T14:13:33Z</dcterms:created>
  <dcterms:modified xsi:type="dcterms:W3CDTF">2026-01-04T06:25:07Z</dcterms:modified>
</cp:coreProperties>
</file>